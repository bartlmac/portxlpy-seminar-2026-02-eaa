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vtmw-my.sharepoint.com/personal/arno_rasch_vtmw_de/Documents/vtmw/DAV/EAA Websession/Handcrafted_2/"/>
    </mc:Choice>
  </mc:AlternateContent>
  <xr:revisionPtr revIDLastSave="157" documentId="13_ncr:1_{972D606A-CD37-4331-9330-DE11EAEC6F91}" xr6:coauthVersionLast="47" xr6:coauthVersionMax="47" xr10:uidLastSave="{24FCEB54-9367-4AC8-9F15-D09089A2114D}"/>
  <bookViews>
    <workbookView xWindow="-120" yWindow="-120" windowWidth="30960" windowHeight="16800" xr2:uid="{00000000-000D-0000-FFFF-FFFF00000000}"/>
  </bookViews>
  <sheets>
    <sheet name="Calculation" sheetId="1" r:id="rId1"/>
    <sheet name="MortalityTables" sheetId="2" r:id="rId2"/>
  </sheets>
  <functionGroups builtInGroupCount="19"/>
  <definedNames>
    <definedName name="_xleta.MAX" hidden="1" xlm="1">#NAME?</definedName>
    <definedName name="alpha">Calculation!$E$6</definedName>
    <definedName name="beta1">Calculation!$E$7</definedName>
    <definedName name="gamma1">Calculation!$E$8</definedName>
    <definedName name="gamma2">Calculation!$E$9</definedName>
    <definedName name="gamma3">Calculation!$E$10</definedName>
    <definedName name="GrossAnnualPrem">Calculation!$K$6</definedName>
    <definedName name="GrossModalPrem">Calculation!$K$7</definedName>
    <definedName name="InterestRate">Calculation!$E$4</definedName>
    <definedName name="k">Calculation!$E$11</definedName>
    <definedName name="m_Tables">MortalityTables!$B$4:$E$127</definedName>
    <definedName name="MinAgeFlex">Calculation!$H$4</definedName>
    <definedName name="MinTermFlex">Calculation!$H$5</definedName>
    <definedName name="ModalSurcharge">Calculation!$E$12</definedName>
    <definedName name="MortalityTable">Calculation!$E$5</definedName>
    <definedName name="n">Calculation!$B$6</definedName>
    <definedName name="NormGrossAnnualPrem">Calculation!$K$5</definedName>
    <definedName name="P_xt">Calculation!$K$9</definedName>
    <definedName name="PayFreq">Calculation!$B$9</definedName>
    <definedName name="Sex">Calculation!$B$5</definedName>
    <definedName name="SumInsured">Calculation!$B$8</definedName>
    <definedName name="t">Calculation!$B$7</definedName>
    <definedName name="v_Age">MortalityTables!$A$4:$A$127</definedName>
    <definedName name="v_Tables">MortalityTables!$B$3:$E$3</definedName>
    <definedName name="x">Calculation!$B$4</definedName>
  </definedNames>
  <calcPr calcId="191029" calcCompleted="0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6" i="1" l="1"/>
  <c r="B47" i="1" a="1"/>
  <c r="B47" i="1" s="1"/>
  <c r="B48" i="1" a="1"/>
  <c r="B48" i="1" s="1"/>
  <c r="B49" i="1" a="1"/>
  <c r="B49" i="1" s="1"/>
  <c r="B50" i="1" a="1"/>
  <c r="B50" i="1" s="1"/>
  <c r="B51" i="1" a="1"/>
  <c r="B51" i="1" s="1"/>
  <c r="B52" i="1" a="1"/>
  <c r="B52" i="1" s="1"/>
  <c r="B53" i="1" a="1"/>
  <c r="B53" i="1" s="1"/>
  <c r="B54" i="1" a="1"/>
  <c r="B54" i="1" s="1"/>
  <c r="B55" i="1" a="1"/>
  <c r="B55" i="1" s="1"/>
  <c r="B56" i="1" a="1"/>
  <c r="B56" i="1" s="1"/>
  <c r="B57" i="1" a="1"/>
  <c r="B57" i="1" s="1"/>
  <c r="B58" i="1" a="1"/>
  <c r="B58" i="1" s="1"/>
  <c r="B59" i="1" a="1"/>
  <c r="B59" i="1" s="1"/>
  <c r="B60" i="1" a="1"/>
  <c r="B60" i="1" s="1"/>
  <c r="B61" i="1" a="1"/>
  <c r="B61" i="1" s="1"/>
  <c r="B62" i="1" a="1"/>
  <c r="B62" i="1" s="1"/>
  <c r="B63" i="1" a="1"/>
  <c r="B63" i="1" s="1"/>
  <c r="B64" i="1" a="1"/>
  <c r="B64" i="1" s="1"/>
  <c r="B65" i="1" a="1"/>
  <c r="B65" i="1" s="1"/>
  <c r="B66" i="1" a="1"/>
  <c r="B66" i="1" s="1"/>
  <c r="L66" i="1"/>
  <c r="I66" i="1"/>
  <c r="J66" i="1" s="1"/>
  <c r="L65" i="1"/>
  <c r="I65" i="1"/>
  <c r="J65" i="1" s="1"/>
  <c r="L64" i="1"/>
  <c r="I64" i="1"/>
  <c r="J64" i="1" s="1"/>
  <c r="L63" i="1"/>
  <c r="I63" i="1"/>
  <c r="J63" i="1" s="1"/>
  <c r="L62" i="1"/>
  <c r="I62" i="1"/>
  <c r="J62" i="1" s="1"/>
  <c r="L61" i="1"/>
  <c r="I61" i="1"/>
  <c r="J61" i="1" s="1"/>
  <c r="L60" i="1"/>
  <c r="I60" i="1"/>
  <c r="L59" i="1"/>
  <c r="I59" i="1"/>
  <c r="L58" i="1"/>
  <c r="I58" i="1"/>
  <c r="L57" i="1"/>
  <c r="I57" i="1"/>
  <c r="L56" i="1"/>
  <c r="I56" i="1"/>
  <c r="L55" i="1"/>
  <c r="I55" i="1"/>
  <c r="L54" i="1"/>
  <c r="I54" i="1"/>
  <c r="L53" i="1"/>
  <c r="I53" i="1"/>
  <c r="L52" i="1"/>
  <c r="I52" i="1"/>
  <c r="L51" i="1"/>
  <c r="I51" i="1"/>
  <c r="L50" i="1"/>
  <c r="I50" i="1"/>
  <c r="L49" i="1"/>
  <c r="I49" i="1"/>
  <c r="L48" i="1"/>
  <c r="I48" i="1"/>
  <c r="L47" i="1"/>
  <c r="I47" i="1"/>
  <c r="L46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E12" i="1"/>
  <c r="C38" i="1" a="1"/>
  <c r="D21" i="1" a="1"/>
  <c r="B25" i="1" a="1"/>
  <c r="D63" i="1" a="1"/>
  <c r="B30" i="1" a="1"/>
  <c r="D25" i="1" a="1"/>
  <c r="B19" i="1" a="1"/>
  <c r="C41" i="1" a="1"/>
  <c r="B24" i="1" a="1"/>
  <c r="D60" i="1" a="1"/>
  <c r="B43" i="1" a="1"/>
  <c r="C42" i="1" a="1"/>
  <c r="D37" i="1" a="1"/>
  <c r="D58" i="1" a="1"/>
  <c r="C20" i="1" a="1"/>
  <c r="D16" i="1" a="1"/>
  <c r="B41" i="1" a="1"/>
  <c r="C33" i="1" a="1"/>
  <c r="C59" i="1" a="1"/>
  <c r="D40" i="1" a="1"/>
  <c r="B18" i="1" a="1"/>
  <c r="D55" i="1" a="1"/>
  <c r="C61" i="1" a="1"/>
  <c r="D64" i="1" a="1"/>
  <c r="C57" i="1" a="1"/>
  <c r="D44" i="1" a="1"/>
  <c r="D38" i="1" a="1"/>
  <c r="B45" i="1" a="1"/>
  <c r="C31" i="1" a="1"/>
  <c r="K5" i="1" a="1"/>
  <c r="B42" i="1" a="1"/>
  <c r="D29" i="1" a="1"/>
  <c r="D35" i="1" a="1"/>
  <c r="C64" i="1" a="1"/>
  <c r="C56" i="1" a="1"/>
  <c r="C21" i="1" a="1"/>
  <c r="D54" i="1" a="1"/>
  <c r="B32" i="1" a="1"/>
  <c r="D49" i="1" a="1"/>
  <c r="C51" i="1" a="1"/>
  <c r="D24" i="1" a="1"/>
  <c r="C35" i="1" a="1"/>
  <c r="C54" i="1" a="1"/>
  <c r="C29" i="1" a="1"/>
  <c r="B20" i="1" a="1"/>
  <c r="D18" i="1" a="1"/>
  <c r="D42" i="1" a="1"/>
  <c r="D46" i="1" a="1"/>
  <c r="D30" i="1" a="1"/>
  <c r="C65" i="1" a="1"/>
  <c r="D26" i="1" a="1"/>
  <c r="B28" i="1" a="1"/>
  <c r="B44" i="1" a="1"/>
  <c r="D41" i="1" a="1"/>
  <c r="C62" i="1" a="1"/>
  <c r="C43" i="1" a="1"/>
  <c r="C53" i="1" a="1"/>
  <c r="C40" i="1" a="1"/>
  <c r="C32" i="1" a="1"/>
  <c r="C17" i="1" a="1"/>
  <c r="B40" i="1" a="1"/>
  <c r="D47" i="1" a="1"/>
  <c r="C28" i="1" a="1"/>
  <c r="D51" i="1" a="1"/>
  <c r="C27" i="1" a="1"/>
  <c r="B26" i="1" a="1"/>
  <c r="C58" i="1" a="1"/>
  <c r="B31" i="1" a="1"/>
  <c r="B16" i="1" a="1"/>
  <c r="C16" i="1" a="1"/>
  <c r="D33" i="1" a="1"/>
  <c r="D22" i="1" a="1"/>
  <c r="D34" i="1" a="1"/>
  <c r="D45" i="1" a="1"/>
  <c r="C63" i="1" a="1"/>
  <c r="D50" i="1" a="1"/>
  <c r="C19" i="1" a="1"/>
  <c r="B33" i="1" a="1"/>
  <c r="D32" i="1" a="1"/>
  <c r="D65" i="1" a="1"/>
  <c r="B34" i="1" a="1"/>
  <c r="B22" i="1" a="1"/>
  <c r="D23" i="1" a="1"/>
  <c r="B39" i="1" a="1"/>
  <c r="D39" i="1" a="1"/>
  <c r="D53" i="1" a="1"/>
  <c r="C55" i="1" a="1"/>
  <c r="C46" i="1" a="1"/>
  <c r="C49" i="1" a="1"/>
  <c r="D19" i="1" a="1"/>
  <c r="D57" i="1" a="1"/>
  <c r="C25" i="1" a="1"/>
  <c r="B27" i="1" a="1"/>
  <c r="C66" i="1" a="1"/>
  <c r="C47" i="1" a="1"/>
  <c r="D48" i="1" a="1"/>
  <c r="C37" i="1" a="1"/>
  <c r="B17" i="1" a="1"/>
  <c r="C34" i="1" a="1"/>
  <c r="D56" i="1" a="1"/>
  <c r="D61" i="1" a="1"/>
  <c r="D27" i="1" a="1"/>
  <c r="D43" i="1" a="1"/>
  <c r="C45" i="1" a="1"/>
  <c r="D66" i="1" a="1"/>
  <c r="B29" i="1" a="1"/>
  <c r="B23" i="1" a="1"/>
  <c r="D31" i="1" a="1"/>
  <c r="B37" i="1" a="1"/>
  <c r="C18" i="1" a="1"/>
  <c r="C36" i="1" a="1"/>
  <c r="D59" i="1" a="1"/>
  <c r="D17" i="1" a="1"/>
  <c r="B36" i="1" a="1"/>
  <c r="C24" i="1" a="1"/>
  <c r="D20" i="1" a="1"/>
  <c r="C50" i="1" a="1"/>
  <c r="C48" i="1" a="1"/>
  <c r="C22" i="1" a="1"/>
  <c r="D36" i="1" a="1"/>
  <c r="C23" i="1" a="1"/>
  <c r="C30" i="1" a="1"/>
  <c r="D52" i="1" a="1"/>
  <c r="C26" i="1" a="1"/>
  <c r="B21" i="1" a="1"/>
  <c r="D62" i="1" a="1"/>
  <c r="D28" i="1" a="1"/>
  <c r="B35" i="1" a="1"/>
  <c r="C39" i="1" a="1"/>
  <c r="C52" i="1" a="1"/>
  <c r="C44" i="1" a="1"/>
  <c r="B38" i="1" a="1"/>
  <c r="C60" i="1" a="1"/>
  <c r="B46" i="1" a="1"/>
  <c r="B27" i="1" l="1"/>
  <c r="B46" i="1"/>
  <c r="B25" i="1"/>
  <c r="B34" i="1"/>
  <c r="B43" i="1"/>
  <c r="B22" i="1"/>
  <c r="B31" i="1"/>
  <c r="B17" i="1"/>
  <c r="B26" i="1"/>
  <c r="B35" i="1"/>
  <c r="B24" i="1"/>
  <c r="B33" i="1"/>
  <c r="B42" i="1"/>
  <c r="B41" i="1"/>
  <c r="B21" i="1"/>
  <c r="B40" i="1"/>
  <c r="B30" i="1"/>
  <c r="B20" i="1"/>
  <c r="B37" i="1"/>
  <c r="B36" i="1"/>
  <c r="B45" i="1"/>
  <c r="B44" i="1"/>
  <c r="B23" i="1"/>
  <c r="B32" i="1"/>
  <c r="B39" i="1"/>
  <c r="B29" i="1"/>
  <c r="B19" i="1"/>
  <c r="B38" i="1"/>
  <c r="B28" i="1"/>
  <c r="B18" i="1"/>
  <c r="B16" i="1"/>
  <c r="D66" i="1"/>
  <c r="D56" i="1"/>
  <c r="D46" i="1"/>
  <c r="D36" i="1"/>
  <c r="D26" i="1"/>
  <c r="D65" i="1"/>
  <c r="D55" i="1"/>
  <c r="D45" i="1"/>
  <c r="D35" i="1"/>
  <c r="D25" i="1"/>
  <c r="D64" i="1"/>
  <c r="D54" i="1"/>
  <c r="D44" i="1"/>
  <c r="D34" i="1"/>
  <c r="D24" i="1"/>
  <c r="D63" i="1"/>
  <c r="D53" i="1"/>
  <c r="D43" i="1"/>
  <c r="D33" i="1"/>
  <c r="D23" i="1"/>
  <c r="D62" i="1"/>
  <c r="D52" i="1"/>
  <c r="D42" i="1"/>
  <c r="D32" i="1"/>
  <c r="D22" i="1"/>
  <c r="D61" i="1"/>
  <c r="D51" i="1"/>
  <c r="D41" i="1"/>
  <c r="D31" i="1"/>
  <c r="D21" i="1"/>
  <c r="D60" i="1"/>
  <c r="D50" i="1"/>
  <c r="D40" i="1"/>
  <c r="D30" i="1"/>
  <c r="D20" i="1"/>
  <c r="D59" i="1"/>
  <c r="D49" i="1"/>
  <c r="D39" i="1"/>
  <c r="D29" i="1"/>
  <c r="D19" i="1"/>
  <c r="D58" i="1"/>
  <c r="D48" i="1"/>
  <c r="D38" i="1"/>
  <c r="D28" i="1"/>
  <c r="D18" i="1"/>
  <c r="D57" i="1"/>
  <c r="D47" i="1"/>
  <c r="D37" i="1"/>
  <c r="D27" i="1"/>
  <c r="D17" i="1"/>
  <c r="C66" i="1"/>
  <c r="C56" i="1"/>
  <c r="C46" i="1"/>
  <c r="C36" i="1"/>
  <c r="C65" i="1"/>
  <c r="C55" i="1"/>
  <c r="C45" i="1"/>
  <c r="C64" i="1"/>
  <c r="C54" i="1"/>
  <c r="C44" i="1"/>
  <c r="C63" i="1"/>
  <c r="C53" i="1"/>
  <c r="C43" i="1"/>
  <c r="C62" i="1"/>
  <c r="C52" i="1"/>
  <c r="C42" i="1"/>
  <c r="C61" i="1"/>
  <c r="C51" i="1"/>
  <c r="C41" i="1"/>
  <c r="C60" i="1"/>
  <c r="C50" i="1"/>
  <c r="C40" i="1"/>
  <c r="C59" i="1"/>
  <c r="C49" i="1"/>
  <c r="C39" i="1"/>
  <c r="C58" i="1"/>
  <c r="C48" i="1"/>
  <c r="C38" i="1"/>
  <c r="C57" i="1"/>
  <c r="C47" i="1"/>
  <c r="C37" i="1"/>
  <c r="C26" i="1"/>
  <c r="C25" i="1"/>
  <c r="C34" i="1"/>
  <c r="C24" i="1"/>
  <c r="C33" i="1"/>
  <c r="C23" i="1"/>
  <c r="C32" i="1"/>
  <c r="C22" i="1"/>
  <c r="C31" i="1"/>
  <c r="C21" i="1"/>
  <c r="C30" i="1"/>
  <c r="C20" i="1"/>
  <c r="C29" i="1"/>
  <c r="C19" i="1"/>
  <c r="C28" i="1"/>
  <c r="C18" i="1"/>
  <c r="C35" i="1"/>
  <c r="C27" i="1"/>
  <c r="C17" i="1"/>
  <c r="D16" i="1"/>
  <c r="C16" i="1"/>
  <c r="K5" i="1"/>
  <c r="K9" i="1" a="1"/>
  <c r="G20" i="1" l="1"/>
  <c r="G22" i="1"/>
  <c r="G58" i="1"/>
  <c r="G56" i="1"/>
  <c r="G46" i="1"/>
  <c r="G41" i="1"/>
  <c r="G27" i="1"/>
  <c r="G62" i="1"/>
  <c r="G51" i="1"/>
  <c r="K9" i="1"/>
  <c r="G36" i="1"/>
  <c r="G34" i="1"/>
  <c r="G48" i="1"/>
  <c r="G54" i="1"/>
  <c r="G61" i="1"/>
  <c r="G55" i="1"/>
  <c r="G47" i="1"/>
  <c r="G66" i="1"/>
  <c r="G49" i="1"/>
  <c r="G40" i="1"/>
  <c r="G63" i="1"/>
  <c r="G60" i="1"/>
  <c r="G50" i="1"/>
  <c r="G53" i="1"/>
  <c r="G64" i="1"/>
  <c r="G52" i="1"/>
  <c r="G65" i="1"/>
  <c r="G59" i="1"/>
  <c r="G43" i="1"/>
  <c r="G44" i="1"/>
  <c r="G38" i="1"/>
  <c r="G30" i="1"/>
  <c r="G19" i="1"/>
  <c r="G42" i="1"/>
  <c r="G39" i="1"/>
  <c r="G33" i="1"/>
  <c r="G28" i="1"/>
  <c r="G32" i="1"/>
  <c r="G25" i="1"/>
  <c r="G26" i="1"/>
  <c r="G45" i="1"/>
  <c r="G37" i="1"/>
  <c r="G21" i="1"/>
  <c r="G16" i="1"/>
  <c r="G23" i="1"/>
  <c r="G35" i="1"/>
  <c r="G31" i="1"/>
  <c r="G29" i="1"/>
  <c r="G24" i="1"/>
  <c r="G18" i="1"/>
  <c r="G17" i="1"/>
  <c r="K6" i="1"/>
  <c r="K7" i="1" s="1"/>
  <c r="G57" i="1"/>
  <c r="E20" i="1" a="1"/>
  <c r="E62" i="1" a="1"/>
  <c r="E16" i="1" a="1"/>
  <c r="E52" i="1" a="1"/>
  <c r="E52" i="1" l="1"/>
  <c r="F52" i="1" s="1"/>
  <c r="E62" i="1"/>
  <c r="F62" i="1" s="1"/>
  <c r="E20" i="1"/>
  <c r="F20" i="1" s="1"/>
  <c r="E16" i="1"/>
  <c r="F16" i="1" s="1"/>
  <c r="J16" i="1" s="1"/>
  <c r="E30" i="1" a="1"/>
  <c r="E63" i="1" a="1"/>
  <c r="E47" i="1" a="1"/>
  <c r="E38" i="1" a="1"/>
  <c r="E40" i="1" a="1"/>
  <c r="E25" i="1" a="1"/>
  <c r="E49" i="1" a="1"/>
  <c r="E66" i="1" a="1"/>
  <c r="E43" i="1" a="1"/>
  <c r="E37" i="1" a="1"/>
  <c r="E50" i="1" a="1"/>
  <c r="E26" i="1" a="1"/>
  <c r="E39" i="1" a="1"/>
  <c r="E54" i="1" a="1"/>
  <c r="E64" i="1" a="1"/>
  <c r="E35" i="1" a="1"/>
  <c r="E57" i="1" a="1"/>
  <c r="E51" i="1" a="1"/>
  <c r="E48" i="1" a="1"/>
  <c r="E28" i="1" a="1"/>
  <c r="E53" i="1" a="1"/>
  <c r="E18" i="1" a="1"/>
  <c r="E55" i="1" a="1"/>
  <c r="E59" i="1" a="1"/>
  <c r="E41" i="1" a="1"/>
  <c r="E61" i="1" a="1"/>
  <c r="E31" i="1" a="1"/>
  <c r="E17" i="1" a="1"/>
  <c r="H20" i="1" a="1"/>
  <c r="E22" i="1" a="1"/>
  <c r="E45" i="1" a="1"/>
  <c r="E34" i="1" a="1"/>
  <c r="E58" i="1" a="1"/>
  <c r="E21" i="1" a="1"/>
  <c r="E24" i="1" a="1"/>
  <c r="E27" i="1" a="1"/>
  <c r="E46" i="1" a="1"/>
  <c r="E36" i="1" a="1"/>
  <c r="E33" i="1" a="1"/>
  <c r="E32" i="1" a="1"/>
  <c r="E23" i="1" a="1"/>
  <c r="E65" i="1" a="1"/>
  <c r="E29" i="1" a="1"/>
  <c r="E60" i="1" a="1"/>
  <c r="E19" i="1" a="1"/>
  <c r="E56" i="1" a="1"/>
  <c r="E44" i="1" a="1"/>
  <c r="E42" i="1" a="1"/>
  <c r="H52" i="1" a="1"/>
  <c r="H62" i="1" a="1"/>
  <c r="H62" i="1" l="1"/>
  <c r="H20" i="1"/>
  <c r="H52" i="1"/>
  <c r="E46" i="1"/>
  <c r="F46" i="1" s="1"/>
  <c r="E26" i="1"/>
  <c r="F26" i="1" s="1"/>
  <c r="E66" i="1"/>
  <c r="F66" i="1" s="1"/>
  <c r="E44" i="1"/>
  <c r="F44" i="1" s="1"/>
  <c r="E37" i="1"/>
  <c r="F37" i="1" s="1"/>
  <c r="E19" i="1"/>
  <c r="F19" i="1" s="1"/>
  <c r="E41" i="1"/>
  <c r="E59" i="1"/>
  <c r="F59" i="1" s="1"/>
  <c r="E38" i="1"/>
  <c r="F38" i="1" s="1"/>
  <c r="J38" i="1" s="1"/>
  <c r="E43" i="1"/>
  <c r="F43" i="1" s="1"/>
  <c r="E23" i="1"/>
  <c r="E24" i="1"/>
  <c r="F24" i="1" s="1"/>
  <c r="E40" i="1"/>
  <c r="F40" i="1" s="1"/>
  <c r="E49" i="1"/>
  <c r="E27" i="1"/>
  <c r="E53" i="1"/>
  <c r="E33" i="1"/>
  <c r="E45" i="1"/>
  <c r="E21" i="1"/>
  <c r="E65" i="1"/>
  <c r="F65" i="1" s="1"/>
  <c r="E30" i="1"/>
  <c r="F30" i="1" s="1"/>
  <c r="E35" i="1"/>
  <c r="E42" i="1"/>
  <c r="F42" i="1" s="1"/>
  <c r="E58" i="1"/>
  <c r="F58" i="1" s="1"/>
  <c r="E39" i="1"/>
  <c r="F39" i="1" s="1"/>
  <c r="E22" i="1"/>
  <c r="F22" i="1" s="1"/>
  <c r="E57" i="1"/>
  <c r="E34" i="1"/>
  <c r="F34" i="1" s="1"/>
  <c r="E28" i="1"/>
  <c r="F28" i="1" s="1"/>
  <c r="E51" i="1"/>
  <c r="E31" i="1"/>
  <c r="F31" i="1" s="1"/>
  <c r="E60" i="1"/>
  <c r="F60" i="1" s="1"/>
  <c r="E32" i="1"/>
  <c r="F32" i="1" s="1"/>
  <c r="E36" i="1"/>
  <c r="E48" i="1"/>
  <c r="E50" i="1"/>
  <c r="E17" i="1"/>
  <c r="E55" i="1"/>
  <c r="E25" i="1"/>
  <c r="E64" i="1"/>
  <c r="F64" i="1" s="1"/>
  <c r="E18" i="1"/>
  <c r="F18" i="1" s="1"/>
  <c r="E63" i="1"/>
  <c r="F63" i="1" s="1"/>
  <c r="E29" i="1"/>
  <c r="F29" i="1" s="1"/>
  <c r="E54" i="1"/>
  <c r="F54" i="1" s="1"/>
  <c r="E56" i="1"/>
  <c r="E47" i="1"/>
  <c r="E61" i="1"/>
  <c r="F61" i="1" s="1"/>
  <c r="J54" i="1"/>
  <c r="J59" i="1"/>
  <c r="J44" i="1"/>
  <c r="J60" i="1"/>
  <c r="J42" i="1"/>
  <c r="J22" i="1"/>
  <c r="J58" i="1"/>
  <c r="J52" i="1"/>
  <c r="J46" i="1"/>
  <c r="J43" i="1"/>
  <c r="J20" i="1"/>
  <c r="H30" i="1" a="1"/>
  <c r="H18" i="1" a="1"/>
  <c r="H54" i="1" a="1"/>
  <c r="H26" i="1" a="1"/>
  <c r="H37" i="1" a="1"/>
  <c r="H39" i="1" a="1"/>
  <c r="H19" i="1" a="1"/>
  <c r="H61" i="1" a="1"/>
  <c r="H59" i="1" a="1"/>
  <c r="H46" i="1" a="1"/>
  <c r="H43" i="1" a="1"/>
  <c r="H66" i="1" a="1"/>
  <c r="H31" i="1" a="1"/>
  <c r="H42" i="1" a="1"/>
  <c r="H40" i="1" a="1"/>
  <c r="H32" i="1" a="1"/>
  <c r="H24" i="1" a="1"/>
  <c r="H60" i="1" a="1"/>
  <c r="H58" i="1" a="1"/>
  <c r="H16" i="1" a="1"/>
  <c r="H63" i="1" a="1"/>
  <c r="H65" i="1" a="1"/>
  <c r="H64" i="1" a="1"/>
  <c r="H29" i="1" a="1"/>
  <c r="H44" i="1" a="1"/>
  <c r="H22" i="1" a="1"/>
  <c r="H34" i="1" a="1"/>
  <c r="H28" i="1" a="1"/>
  <c r="H16" i="1" l="1"/>
  <c r="L16" i="1" s="1"/>
  <c r="H40" i="1"/>
  <c r="H60" i="1"/>
  <c r="H43" i="1"/>
  <c r="H28" i="1"/>
  <c r="H59" i="1"/>
  <c r="H19" i="1"/>
  <c r="H37" i="1"/>
  <c r="H58" i="1"/>
  <c r="H29" i="1"/>
  <c r="H66" i="1"/>
  <c r="K66" i="1" s="1"/>
  <c r="H64" i="1"/>
  <c r="K64" i="1" s="1"/>
  <c r="H32" i="1"/>
  <c r="H24" i="1"/>
  <c r="L24" i="1" s="1"/>
  <c r="H31" i="1"/>
  <c r="H34" i="1"/>
  <c r="H61" i="1"/>
  <c r="K61" i="1" s="1"/>
  <c r="H22" i="1"/>
  <c r="H39" i="1"/>
  <c r="H54" i="1"/>
  <c r="H44" i="1"/>
  <c r="H42" i="1"/>
  <c r="H63" i="1"/>
  <c r="K63" i="1" s="1"/>
  <c r="H26" i="1"/>
  <c r="H18" i="1"/>
  <c r="L18" i="1" s="1"/>
  <c r="H30" i="1"/>
  <c r="H46" i="1"/>
  <c r="H65" i="1"/>
  <c r="K65" i="1" s="1"/>
  <c r="J34" i="1"/>
  <c r="F35" i="1"/>
  <c r="F25" i="1"/>
  <c r="F21" i="1"/>
  <c r="J55" i="1"/>
  <c r="F55" i="1"/>
  <c r="J45" i="1"/>
  <c r="F45" i="1"/>
  <c r="F17" i="1"/>
  <c r="F33" i="1"/>
  <c r="J50" i="1"/>
  <c r="F50" i="1"/>
  <c r="J53" i="1"/>
  <c r="F53" i="1"/>
  <c r="J48" i="1"/>
  <c r="F48" i="1"/>
  <c r="F27" i="1"/>
  <c r="F36" i="1"/>
  <c r="J49" i="1"/>
  <c r="F49" i="1"/>
  <c r="F23" i="1"/>
  <c r="J51" i="1"/>
  <c r="F51" i="1"/>
  <c r="J57" i="1"/>
  <c r="F57" i="1"/>
  <c r="J41" i="1"/>
  <c r="F41" i="1"/>
  <c r="J47" i="1"/>
  <c r="F47" i="1"/>
  <c r="J56" i="1"/>
  <c r="F56" i="1"/>
  <c r="J19" i="1"/>
  <c r="J39" i="1"/>
  <c r="K62" i="1"/>
  <c r="L40" i="1"/>
  <c r="L37" i="1"/>
  <c r="L20" i="1"/>
  <c r="L39" i="1"/>
  <c r="J31" i="1"/>
  <c r="J29" i="1"/>
  <c r="J26" i="1"/>
  <c r="J30" i="1"/>
  <c r="J40" i="1"/>
  <c r="J28" i="1"/>
  <c r="J18" i="1"/>
  <c r="J37" i="1"/>
  <c r="J32" i="1"/>
  <c r="J24" i="1"/>
  <c r="H23" i="1" a="1"/>
  <c r="H51" i="1" a="1"/>
  <c r="H57" i="1" a="1"/>
  <c r="H55" i="1" a="1"/>
  <c r="H41" i="1" a="1"/>
  <c r="H45" i="1" a="1"/>
  <c r="H47" i="1" a="1"/>
  <c r="H38" i="1" a="1"/>
  <c r="H56" i="1" a="1"/>
  <c r="H48" i="1" a="1"/>
  <c r="H50" i="1" a="1"/>
  <c r="H35" i="1" a="1"/>
  <c r="H49" i="1" a="1"/>
  <c r="H53" i="1" a="1"/>
  <c r="K16" i="1" l="1"/>
  <c r="H38" i="1"/>
  <c r="H50" i="1"/>
  <c r="K50" i="1" s="1"/>
  <c r="H41" i="1"/>
  <c r="K41" i="1" s="1"/>
  <c r="H55" i="1"/>
  <c r="K55" i="1" s="1"/>
  <c r="H23" i="1"/>
  <c r="L23" i="1" s="1"/>
  <c r="H56" i="1"/>
  <c r="H47" i="1"/>
  <c r="H45" i="1"/>
  <c r="H57" i="1"/>
  <c r="K57" i="1" s="1"/>
  <c r="H51" i="1"/>
  <c r="K51" i="1" s="1"/>
  <c r="H35" i="1"/>
  <c r="L35" i="1" s="1"/>
  <c r="H49" i="1"/>
  <c r="K49" i="1" s="1"/>
  <c r="H48" i="1"/>
  <c r="K48" i="1" s="1"/>
  <c r="H53" i="1"/>
  <c r="K53" i="1" s="1"/>
  <c r="J17" i="1"/>
  <c r="J33" i="1"/>
  <c r="J21" i="1"/>
  <c r="J25" i="1"/>
  <c r="J36" i="1"/>
  <c r="J27" i="1"/>
  <c r="K19" i="1"/>
  <c r="L19" i="1"/>
  <c r="J23" i="1"/>
  <c r="J35" i="1"/>
  <c r="K34" i="1"/>
  <c r="K54" i="1"/>
  <c r="K44" i="1"/>
  <c r="K46" i="1"/>
  <c r="K47" i="1"/>
  <c r="K45" i="1"/>
  <c r="K60" i="1"/>
  <c r="K56" i="1"/>
  <c r="K59" i="1"/>
  <c r="K52" i="1"/>
  <c r="K58" i="1"/>
  <c r="K42" i="1"/>
  <c r="L45" i="1"/>
  <c r="L41" i="1"/>
  <c r="K43" i="1"/>
  <c r="L43" i="1"/>
  <c r="L44" i="1"/>
  <c r="L42" i="1"/>
  <c r="K26" i="1"/>
  <c r="K18" i="1"/>
  <c r="K22" i="1"/>
  <c r="K24" i="1"/>
  <c r="K28" i="1"/>
  <c r="K39" i="1"/>
  <c r="K20" i="1"/>
  <c r="K32" i="1"/>
  <c r="K29" i="1"/>
  <c r="K30" i="1"/>
  <c r="L29" i="1"/>
  <c r="L30" i="1"/>
  <c r="L26" i="1"/>
  <c r="L28" i="1"/>
  <c r="K37" i="1"/>
  <c r="K40" i="1"/>
  <c r="L32" i="1"/>
  <c r="H25" i="1" a="1"/>
  <c r="H17" i="1" a="1"/>
  <c r="H33" i="1" a="1"/>
  <c r="H21" i="1" a="1"/>
  <c r="H36" i="1" a="1"/>
  <c r="H27" i="1" a="1"/>
  <c r="H21" i="1" l="1"/>
  <c r="L21" i="1" s="1"/>
  <c r="H33" i="1"/>
  <c r="L33" i="1" s="1"/>
  <c r="H17" i="1"/>
  <c r="K17" i="1" s="1"/>
  <c r="H27" i="1"/>
  <c r="K27" i="1" s="1"/>
  <c r="H36" i="1"/>
  <c r="K36" i="1" s="1"/>
  <c r="H25" i="1"/>
  <c r="K25" i="1" s="1"/>
  <c r="K23" i="1"/>
  <c r="K35" i="1"/>
  <c r="L34" i="1"/>
  <c r="L36" i="1"/>
  <c r="K38" i="1"/>
  <c r="L38" i="1"/>
  <c r="L22" i="1"/>
  <c r="L25" i="1"/>
  <c r="L31" i="1"/>
  <c r="K31" i="1"/>
  <c r="K21" i="1" l="1"/>
  <c r="L17" i="1"/>
  <c r="K33" i="1"/>
  <c r="L2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<sst xmlns="http://schemas.openxmlformats.org/spreadsheetml/2006/main" count="47" uniqueCount="46">
  <si>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Policy data</t>
  </si>
  <si>
    <t>Tariff data</t>
  </si>
  <si>
    <t>Limits</t>
  </si>
  <si>
    <t>Premium calculation</t>
  </si>
  <si>
    <t>x</t>
  </si>
  <si>
    <t>InterestRate</t>
  </si>
  <si>
    <t>MinAgeFlex</t>
  </si>
  <si>
    <t>Sex</t>
  </si>
  <si>
    <t>M</t>
  </si>
  <si>
    <t>MortalityTable</t>
  </si>
  <si>
    <t>DAV1994_T</t>
  </si>
  <si>
    <t>MinTermFlex</t>
  </si>
  <si>
    <t>n</t>
  </si>
  <si>
    <t>alpha</t>
  </si>
  <si>
    <t>t</t>
  </si>
  <si>
    <t>beta1</t>
  </si>
  <si>
    <t>gamma1</t>
  </si>
  <si>
    <t>PayFreq</t>
  </si>
  <si>
    <t>gamma2</t>
  </si>
  <si>
    <t>Pxt</t>
  </si>
  <si>
    <t>gamma3</t>
  </si>
  <si>
    <t>k</t>
  </si>
  <si>
    <t>ModalSurcharge</t>
  </si>
  <si>
    <t>Axn</t>
  </si>
  <si>
    <t>axn</t>
  </si>
  <si>
    <t>axt</t>
  </si>
  <si>
    <t>kVx_MRV</t>
  </si>
  <si>
    <t>Surrender deduction</t>
  </si>
  <si>
    <t>x/y</t>
  </si>
  <si>
    <t>DAV1994_T_M</t>
  </si>
  <si>
    <t>DAV1994_T_F</t>
  </si>
  <si>
    <t>DAV2008_T_M</t>
  </si>
  <si>
    <t>DAV2008_T_F</t>
  </si>
  <si>
    <t>Endowment Life Insurance Calculator</t>
  </si>
  <si>
    <t>Progression values</t>
  </si>
  <si>
    <t>kVx_pp</t>
  </si>
  <si>
    <t>kVx_pu</t>
  </si>
  <si>
    <t>kDRx_pp</t>
  </si>
  <si>
    <t>SumInsured</t>
  </si>
  <si>
    <t>Surrender value</t>
  </si>
  <si>
    <t>SumInsured_pu</t>
  </si>
  <si>
    <t>Flex. phase</t>
  </si>
  <si>
    <t>VBA solution with caching commutation values</t>
  </si>
  <si>
    <t>NormGrossAnnualPrem</t>
  </si>
  <si>
    <t>GrossAnnualPrem</t>
  </si>
  <si>
    <t>GrossModalPrem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</si>
</sst>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0.00000000"/>
    <numFmt numFmtId="165" formatCode="0.000%"/>
    <numFmt numFmtId="166" formatCode="#,##0.0000000"/>
  </numFmts>
  <fonts count="8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name val="Arial"/>
    </font>
    <font>
      <b/>
      <sz val="10"/>
      <name val="Arial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5" fillId="0" borderId="0"/>
    <xf numFmtId="44" fontId="6" fillId="0" borderId="0"/>
  </cellStyleXfs>
  <cellXfs count="24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right"/>
    </xf>
    <xf numFmtId="164" fontId="1" fillId="0" borderId="0" xfId="0" applyNumberFormat="1" applyFont="1"/>
    <xf numFmtId="0" fontId="3" fillId="0" borderId="0" xfId="0" applyFont="1"/>
    <xf numFmtId="9" fontId="0" fillId="0" borderId="0" xfId="1" applyFont="1"/>
    <xf numFmtId="0" fontId="4" fillId="0" borderId="0" xfId="0" applyFont="1"/>
    <xf numFmtId="0" fontId="0" fillId="2" borderId="0" xfId="0" applyFill="1"/>
    <xf numFmtId="0" fontId="0" fillId="2" borderId="0" xfId="0" applyFill="1" applyAlignment="1">
      <alignment horizontal="right"/>
    </xf>
    <xf numFmtId="10" fontId="0" fillId="3" borderId="0" xfId="0" applyNumberFormat="1" applyFill="1"/>
    <xf numFmtId="0" fontId="0" fillId="3" borderId="0" xfId="0" applyFill="1"/>
    <xf numFmtId="165" fontId="0" fillId="3" borderId="0" xfId="0" applyNumberFormat="1" applyFill="1"/>
    <xf numFmtId="4" fontId="0" fillId="3" borderId="0" xfId="0" applyNumberFormat="1" applyFill="1"/>
    <xf numFmtId="0" fontId="5" fillId="0" borderId="0" xfId="0" applyFont="1"/>
    <xf numFmtId="0" fontId="5" fillId="0" borderId="1" xfId="0" applyFont="1" applyBorder="1" applyAlignment="1">
      <alignment horizontal="right"/>
    </xf>
    <xf numFmtId="164" fontId="0" fillId="0" borderId="0" xfId="0" applyNumberFormat="1"/>
    <xf numFmtId="166" fontId="0" fillId="0" borderId="0" xfId="0" applyNumberFormat="1"/>
    <xf numFmtId="166" fontId="5" fillId="0" borderId="0" xfId="0" applyNumberFormat="1" applyFont="1"/>
    <xf numFmtId="0" fontId="2" fillId="0" borderId="0" xfId="0" applyFont="1"/>
    <xf numFmtId="44" fontId="0" fillId="0" borderId="0" xfId="2" applyFont="1"/>
    <xf numFmtId="44" fontId="0" fillId="2" borderId="0" xfId="2" applyFont="1" applyFill="1"/>
    <xf numFmtId="0" fontId="0" fillId="0" borderId="0" xfId="2" applyNumberFormat="1" applyFont="1"/>
    <xf numFmtId="0" fontId="5" fillId="0" borderId="1" xfId="0" applyFont="1" applyBorder="1"/>
    <xf numFmtId="0" fontId="7" fillId="0" borderId="0" xfId="0" applyFont="1"/>
  </cellXfs>
  <cellStyles count="3">
    <cellStyle name="Prozent" xfId="1" builtinId="5"/>
    <cellStyle name="Standard" xfId="0" builtinId="0"/>
    <cellStyle name="Währung" xfId="2" builtinId="4"/>
  </cellStyles>
  <dxfs count="3">
    <dxf>
      <border>
        <bottom style="dashed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theme="0" tint="-0.1499374370555742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L66"/>
  <sheetViews>
    <sheetView tabSelected="1" zoomScaleNormal="100" zoomScaleSheetLayoutView="100" workbookViewId="0">
      <selection activeCell="C7" sqref="C7"/>
    </sheetView>
  </sheetViews>
  <sheetFormatPr baseColWidth="10" defaultColWidth="11.42578125" defaultRowHeight="12.75" x14ac:dyDescent="0.2"/>
  <cols>
    <col min="2" max="2" width="13.85546875" bestFit="1" customWidth="1"/>
    <col min="3" max="3" width="11.5703125" bestFit="1" customWidth="1"/>
    <col min="4" max="4" width="15" bestFit="1" customWidth="1"/>
    <col min="5" max="5" width="12.42578125" customWidth="1"/>
    <col min="6" max="6" width="13.85546875" bestFit="1" customWidth="1"/>
    <col min="7" max="7" width="12.140625" bestFit="1" customWidth="1"/>
    <col min="8" max="8" width="13.85546875" bestFit="1" customWidth="1"/>
    <col min="9" max="9" width="10.7109375" bestFit="1" customWidth="1"/>
    <col min="10" max="10" width="20.42578125" customWidth="1"/>
    <col min="11" max="11" width="13.85546875" bestFit="1" customWidth="1"/>
    <col min="12" max="12" width="18.42578125" bestFit="1" customWidth="1"/>
  </cols>
  <sheetData>
    <row r="1" spans="1:12" ht="15" customHeight="1" x14ac:dyDescent="0.25">
      <c r="A1" s="6" t="s">
        <v>33</v>
      </c>
      <c r="J1" s="18" t="s">
        <v>42</v>
      </c>
    </row>
    <row r="3" spans="1:12" x14ac:dyDescent="0.2">
      <c r="A3" s="4" t="s">
        <v>0</v>
      </c>
      <c r="D3" s="4" t="s">
        <v>1</v>
      </c>
      <c r="G3" s="4" t="s">
        <v>2</v>
      </c>
      <c r="J3" s="4" t="s">
        <v>3</v>
      </c>
    </row>
    <row r="4" spans="1:12" x14ac:dyDescent="0.2">
      <c r="A4" t="s">
        <v>4</v>
      </c>
      <c r="B4" s="7">
        <v>40</v>
      </c>
      <c r="D4" t="s">
        <v>5</v>
      </c>
      <c r="E4" s="9">
        <v>1.7500000000000002E-2</v>
      </c>
      <c r="G4" s="1" t="s">
        <v>6</v>
      </c>
      <c r="H4" s="10">
        <v>60</v>
      </c>
    </row>
    <row r="5" spans="1:12" x14ac:dyDescent="0.2">
      <c r="A5" t="s">
        <v>7</v>
      </c>
      <c r="B5" s="8" t="s">
        <v>8</v>
      </c>
      <c r="D5" t="s">
        <v>9</v>
      </c>
      <c r="E5" s="10" t="s">
        <v>10</v>
      </c>
      <c r="G5" s="1" t="s">
        <v>11</v>
      </c>
      <c r="H5" s="10">
        <v>5</v>
      </c>
      <c r="I5" s="15"/>
      <c r="J5" s="1" t="s">
        <v>43</v>
      </c>
      <c r="K5" s="15" cm="1">
        <f t="array" ref="K5">(act_nGrAx(x,n,Sex,MortalityTable,InterestRate)+Act_Dx(x+n,Sex,MortalityTable,InterestRate)/Act_Dx(x,Sex,MortalityTable,InterestRate)+gamma1*Act_axn_k(x,t,Sex,MortalityTable,InterestRate,1)+gamma2*(Act_axn_k(x,n,Sex,MortalityTable,InterestRate,1)-Act_axn_k(x,t,Sex,MortalityTable,InterestRate,1)))/((1-beta1)*Act_axn_k(x,t,Sex,MortalityTable,InterestRate,1)-alpha*t)</f>
        <v>4.226001029372492E-2</v>
      </c>
    </row>
    <row r="6" spans="1:12" x14ac:dyDescent="0.2">
      <c r="A6" t="s">
        <v>12</v>
      </c>
      <c r="B6" s="7">
        <v>30</v>
      </c>
      <c r="D6" t="s">
        <v>13</v>
      </c>
      <c r="E6" s="9">
        <v>2.5000000000000001E-2</v>
      </c>
      <c r="I6" s="19"/>
      <c r="J6" s="1" t="s">
        <v>44</v>
      </c>
      <c r="K6" s="19">
        <f>SumInsured*K5</f>
        <v>4226.0010293724918</v>
      </c>
    </row>
    <row r="7" spans="1:12" x14ac:dyDescent="0.2">
      <c r="A7" t="s">
        <v>14</v>
      </c>
      <c r="B7" s="7">
        <v>20</v>
      </c>
      <c r="D7" t="s">
        <v>15</v>
      </c>
      <c r="E7" s="9">
        <v>2.5000000000000001E-2</v>
      </c>
      <c r="I7" s="19"/>
      <c r="J7" s="1" t="s">
        <v>45</v>
      </c>
      <c r="K7" s="19">
        <f>(1+ModalSurcharge)/PayFreq*(K6+k)</f>
        <v>371.87509007009305</v>
      </c>
    </row>
    <row r="8" spans="1:12" x14ac:dyDescent="0.2">
      <c r="A8" t="s">
        <v>38</v>
      </c>
      <c r="B8" s="20">
        <v>100000</v>
      </c>
      <c r="D8" t="s">
        <v>16</v>
      </c>
      <c r="E8" s="11">
        <v>8.0000000000000004E-4</v>
      </c>
    </row>
    <row r="9" spans="1:12" x14ac:dyDescent="0.2">
      <c r="A9" t="s">
        <v>17</v>
      </c>
      <c r="B9" s="7">
        <v>12</v>
      </c>
      <c r="D9" t="s">
        <v>18</v>
      </c>
      <c r="E9" s="11">
        <v>1.25E-3</v>
      </c>
      <c r="I9" s="15"/>
      <c r="J9" s="13" t="s">
        <v>19</v>
      </c>
      <c r="K9" s="15" cm="1">
        <f t="array" ref="K9">(act_nGrAx(x,n,Sex,MortalityTable,InterestRate)+Act_Dx(x+n,Sex,MortalityTable,InterestRate)/Act_Dx(x,Sex,MortalityTable,InterestRate)+t*alpha*NormGrossAnnualPrem)/Act_axn_k(x,t,Sex,MortalityTable,InterestRate,1)</f>
        <v>4.0012169238708255E-2</v>
      </c>
    </row>
    <row r="10" spans="1:12" x14ac:dyDescent="0.2">
      <c r="D10" t="s">
        <v>20</v>
      </c>
      <c r="E10" s="11">
        <v>2.5000000000000001E-3</v>
      </c>
    </row>
    <row r="11" spans="1:12" x14ac:dyDescent="0.2">
      <c r="D11" t="s">
        <v>21</v>
      </c>
      <c r="E11" s="12">
        <v>24</v>
      </c>
    </row>
    <row r="12" spans="1:12" x14ac:dyDescent="0.2">
      <c r="D12" t="s">
        <v>22</v>
      </c>
      <c r="E12" s="5">
        <f>IF(PayFreq=2,2%,IF(PayFreq=4,3%,IF(PayFreq=12,5%,0)))</f>
        <v>0.05</v>
      </c>
    </row>
    <row r="14" spans="1:12" x14ac:dyDescent="0.2">
      <c r="A14" s="23" t="s">
        <v>34</v>
      </c>
    </row>
    <row r="15" spans="1:12" x14ac:dyDescent="0.2">
      <c r="A15" s="14" t="s">
        <v>21</v>
      </c>
      <c r="B15" s="22" t="s">
        <v>23</v>
      </c>
      <c r="C15" s="22" t="s">
        <v>24</v>
      </c>
      <c r="D15" s="22" t="s">
        <v>25</v>
      </c>
      <c r="E15" s="2" t="s">
        <v>35</v>
      </c>
      <c r="F15" s="2" t="s">
        <v>37</v>
      </c>
      <c r="G15" s="2" t="s">
        <v>36</v>
      </c>
      <c r="H15" s="14" t="s">
        <v>26</v>
      </c>
      <c r="I15" s="2" t="s">
        <v>41</v>
      </c>
      <c r="J15" s="2" t="s">
        <v>27</v>
      </c>
      <c r="K15" s="2" t="s">
        <v>39</v>
      </c>
      <c r="L15" s="2" t="s">
        <v>40</v>
      </c>
    </row>
    <row r="16" spans="1:12" x14ac:dyDescent="0.2">
      <c r="A16">
        <v>0</v>
      </c>
      <c r="B16" s="16" cm="1">
        <f t="array" ref="B16">IF(A16&lt;=n,act_nGrAx(x+$A16,MAX(0,n-$A16),Sex,MortalityTable,InterestRate)+Act_Dx(x+n,Sex,MortalityTable,InterestRate)/Act_Dx(x+$A16,Sex,MortalityTable,InterestRate),0)</f>
        <v>0.63159227805217999</v>
      </c>
      <c r="C16" s="17" cm="1">
        <f t="array" ref="C16">Act_axn_k(x+$A16,MAX(0,n-$A16),Sex,MortalityTable,InterestRate,1)</f>
        <v>21.420277547537385</v>
      </c>
      <c r="D16" s="17" cm="1">
        <f t="array" ref="D16">Act_axn_k(x+$A16,MAX(0,t-$A16),Sex,MortalityTable,InterestRate,1)</f>
        <v>16.313094131562131</v>
      </c>
      <c r="E16" s="16" cm="1">
        <f t="array" ref="E16">B16-P_xt*D16+gamma2*(C16-Act_axn_k(x,n,Sex,MortalityTable,InterestRate,1)/Act_axn_k(x,t,Sex,MortalityTable,InterestRate,1)*D16)</f>
        <v>-2.1130005146862474E-2</v>
      </c>
      <c r="F16" s="19">
        <f t="shared" ref="F16:F47" si="0">SumInsured*E16</f>
        <v>-2113.0005146862472</v>
      </c>
      <c r="G16" s="16">
        <f t="shared" ref="G16:G47" si="1">B16+gamma3*C16</f>
        <v>0.68514297192102347</v>
      </c>
      <c r="H16" s="19" cm="1">
        <f t="array" ref="H16">F16+alpha*t*GrossAnnualPrem*Act_axn_k(x+A16,MAX(5-A16,0),Sex,MortalityTable,InterestRate,1)/Act_axn_k(x,5,Sex,MortalityTable,InterestRate,1)</f>
        <v>0</v>
      </c>
      <c r="I16" s="21">
        <f>IF(AND(x+A16&gt;=MinAgeFlex,A16&gt;=n-MinTermFlex),1,0)</f>
        <v>0</v>
      </c>
      <c r="J16" s="19">
        <f>IF(OR(A16&gt;n,I16),0,MIN(150,MAX(50,1%*(SumInsured-F16))))</f>
        <v>150</v>
      </c>
      <c r="K16" s="19">
        <f t="shared" ref="K16:K47" si="2">MAX(0,H16-J16)</f>
        <v>0</v>
      </c>
      <c r="L16" s="19">
        <f>IFERROR(IF(A16&gt;n,0,IF(A16&lt;t,H16/G16,SumInsured)),0)</f>
        <v>0</v>
      </c>
    </row>
    <row r="17" spans="1:12" x14ac:dyDescent="0.2">
      <c r="A17">
        <v>1</v>
      </c>
      <c r="B17" s="16" cm="1">
        <f t="array" ref="B17">IF(A17&lt;=n,act_nGrAx(x+$A17,MAX(0,n-$A17),Sex,MortalityTable,InterestRate)+Act_Dx(x+n,Sex,MortalityTable,InterestRate)/Act_Dx(x+$A17,Sex,MortalityTable,InterestRate),0)</f>
        <v>0.64172473375912109</v>
      </c>
      <c r="C17" s="17" cm="1">
        <f t="array" ref="C17">Act_axn_k(x+$A17,MAX(0,n-$A17),Sex,MortalityTable,InterestRate,1)</f>
        <v>20.831147622862499</v>
      </c>
      <c r="D17" s="17" cm="1">
        <f t="array" ref="D17">Act_axn_k(x+$A17,MAX(0,t-$A17),Sex,MortalityTable,InterestRate,1)</f>
        <v>15.621204152331885</v>
      </c>
      <c r="E17" s="16" cm="1">
        <f t="array" ref="E17">B17-P_xt*D17+gamma2*(C17-Act_axn_k(x,n,Sex,MortalityTable,InterestRate,1)/Act_axn_k(x,t,Sex,MortalityTable,InterestRate,1)*D17)</f>
        <v>1.7085684348174136E-2</v>
      </c>
      <c r="F17" s="19">
        <f t="shared" si="0"/>
        <v>1708.5684348174136</v>
      </c>
      <c r="G17" s="16">
        <f t="shared" si="1"/>
        <v>0.69380260281627737</v>
      </c>
      <c r="H17" s="19" cm="1">
        <f t="array" ref="H17">F17+alpha*t*GrossAnnualPrem*Act_axn_k(x+A17,MAX(5-A17,0),Sex,MortalityTable,InterestRate,1)/Act_axn_k(x,5,Sex,MortalityTable,InterestRate,1)</f>
        <v>3415.407913894489</v>
      </c>
      <c r="I17" s="21">
        <f t="shared" ref="I17:I47" si="3">IF(AND(x+A17&gt;=MinAgeFlex,A17&gt;=n-MinTermFlex),1,0)</f>
        <v>0</v>
      </c>
      <c r="J17" s="19">
        <f t="shared" ref="J17:J47" si="4">IF(OR(A17&gt;n,I17),0,MIN(150,MAX(50,1%*(SumInsured-F17))))</f>
        <v>150</v>
      </c>
      <c r="K17" s="19">
        <f>MAX(0,H17-J17)</f>
        <v>3265.407913894489</v>
      </c>
      <c r="L17" s="19">
        <f t="shared" ref="L17:L47" si="5">IFERROR(IF(A17&gt;n,0,IF(A17&lt;t,H17/G17,SumInsured)),0)</f>
        <v>4922.7372454797596</v>
      </c>
    </row>
    <row r="18" spans="1:12" x14ac:dyDescent="0.2">
      <c r="A18">
        <v>2</v>
      </c>
      <c r="B18" s="16" cm="1">
        <f t="array" ref="B18">IF(A18&lt;=n,act_nGrAx(x+$A18,MAX(0,n-$A18),Sex,MortalityTable,InterestRate)+Act_Dx(x+n,Sex,MortalityTable,InterestRate)/Act_Dx(x+$A18,Sex,MortalityTable,InterestRate),0)</f>
        <v>0.65197243478330025</v>
      </c>
      <c r="C18" s="17" cm="1">
        <f t="array" ref="C18">Act_axn_k(x+$A18,MAX(0,n-$A18),Sex,MortalityTable,InterestRate,1)</f>
        <v>20.235317006171048</v>
      </c>
      <c r="D18" s="17" cm="1">
        <f t="array" ref="D18">Act_axn_k(x+$A18,MAX(0,t-$A18),Sex,MortalityTable,InterestRate,1)</f>
        <v>14.919192104308186</v>
      </c>
      <c r="E18" s="16" cm="1">
        <f t="array" ref="E18">B18-P_xt*D18+gamma2*(C18-Act_axn_k(x,n,Sex,MortalityTable,InterestRate,1)/Act_axn_k(x,t,Sex,MortalityTable,InterestRate,1)*D18)</f>
        <v>5.5829862989504993E-2</v>
      </c>
      <c r="F18" s="19">
        <f t="shared" si="0"/>
        <v>5582.9862989504991</v>
      </c>
      <c r="G18" s="16">
        <f t="shared" si="1"/>
        <v>0.70256072729872787</v>
      </c>
      <c r="H18" s="19" cm="1">
        <f t="array" ref="H18">F18+alpha*t*GrossAnnualPrem*Act_axn_k(x+A18,MAX(5-A18,0),Sex,MortalityTable,InterestRate,1)/Act_axn_k(x,5,Sex,MortalityTable,InterestRate,1)</f>
        <v>6875.8217280899335</v>
      </c>
      <c r="I18" s="21">
        <f t="shared" si="3"/>
        <v>0</v>
      </c>
      <c r="J18" s="19">
        <f t="shared" si="4"/>
        <v>150</v>
      </c>
      <c r="K18" s="19">
        <f t="shared" si="2"/>
        <v>6725.8217280899335</v>
      </c>
      <c r="L18" s="19">
        <f t="shared" si="5"/>
        <v>9786.8005724241739</v>
      </c>
    </row>
    <row r="19" spans="1:12" x14ac:dyDescent="0.2">
      <c r="A19">
        <v>3</v>
      </c>
      <c r="B19" s="16" cm="1">
        <f t="array" ref="B19">IF(A19&lt;=n,act_nGrAx(x+$A19,MAX(0,n-$A19),Sex,MortalityTable,InterestRate)+Act_Dx(x+n,Sex,MortalityTable,InterestRate)/Act_Dx(x+$A19,Sex,MortalityTable,InterestRate),0)</f>
        <v>0.66233959472091153</v>
      </c>
      <c r="C19" s="17" cm="1">
        <f t="array" ref="C19">Act_axn_k(x+$A19,MAX(0,n-$A19),Sex,MortalityTable,InterestRate,1)</f>
        <v>19.632540706941409</v>
      </c>
      <c r="D19" s="17" cm="1">
        <f t="array" ref="D19">Act_axn_k(x+$A19,MAX(0,t-$A19),Sex,MortalityTable,InterestRate,1)</f>
        <v>14.20663384481256</v>
      </c>
      <c r="E19" s="16" cm="1">
        <f t="array" ref="E19">B19-P_xt*D19+gamma2*(C19-Act_axn_k(x,n,Sex,MortalityTable,InterestRate,1)/Act_axn_k(x,t,Sex,MortalityTable,InterestRate,1)*D19)</f>
        <v>9.5124105166487075E-2</v>
      </c>
      <c r="F19" s="19">
        <f t="shared" si="0"/>
        <v>9512.4105166487079</v>
      </c>
      <c r="G19" s="16">
        <f t="shared" si="1"/>
        <v>0.71142094648826504</v>
      </c>
      <c r="H19" s="19" cm="1">
        <f t="array" ref="H19">F19+alpha*t*GrossAnnualPrem*Act_axn_k(x+A19,MAX(5-A19,0),Sex,MortalityTable,InterestRate,1)/Act_axn_k(x,5,Sex,MortalityTable,InterestRate,1)</f>
        <v>10383.034767622899</v>
      </c>
      <c r="I19" s="21">
        <f t="shared" si="3"/>
        <v>0</v>
      </c>
      <c r="J19" s="19">
        <f t="shared" si="4"/>
        <v>150</v>
      </c>
      <c r="K19" s="19">
        <f t="shared" si="2"/>
        <v>10233.034767622899</v>
      </c>
      <c r="L19" s="19">
        <f t="shared" si="5"/>
        <v>14594.783607196148</v>
      </c>
    </row>
    <row r="20" spans="1:12" x14ac:dyDescent="0.2">
      <c r="A20">
        <v>4</v>
      </c>
      <c r="B20" s="16" cm="1">
        <f t="array" ref="B20">IF(A20&lt;=n,act_nGrAx(x+$A20,MAX(0,n-$A20),Sex,MortalityTable,InterestRate)+Act_Dx(x+n,Sex,MortalityTable,InterestRate)/Act_Dx(x+$A20,Sex,MortalityTable,InterestRate),0)</f>
        <v>0.67282238705347686</v>
      </c>
      <c r="C20" s="17" cm="1">
        <f t="array" ref="C20">Act_axn_k(x+$A20,MAX(0,n-$A20),Sex,MortalityTable,InterestRate,1)</f>
        <v>19.023041209890845</v>
      </c>
      <c r="D20" s="17" cm="1">
        <f t="array" ref="D20">Act_axn_k(x+$A20,MAX(0,t-$A20),Sex,MortalityTable,InterestRate,1)</f>
        <v>13.483418274793564</v>
      </c>
      <c r="E20" s="16" cm="1">
        <f t="array" ref="E20">B20-P_xt*D20+gamma2*(C20-Act_axn_k(x,n,Sex,MortalityTable,InterestRate,1)/Act_axn_k(x,t,Sex,MortalityTable,InterestRate,1)*D20)</f>
        <v>0.13496949013199303</v>
      </c>
      <c r="F20" s="19">
        <f t="shared" si="0"/>
        <v>13496.949013199302</v>
      </c>
      <c r="G20" s="16">
        <f t="shared" si="1"/>
        <v>0.72037999007820397</v>
      </c>
      <c r="H20" s="19" cm="1">
        <f t="array" ref="H20">F20+alpha*t*GrossAnnualPrem*Act_axn_k(x+A20,MAX(5-A20,0),Sex,MortalityTable,InterestRate,1)/Act_axn_k(x,5,Sex,MortalityTable,InterestRate,1)</f>
        <v>13936.775465521623</v>
      </c>
      <c r="I20" s="21">
        <f t="shared" si="3"/>
        <v>0</v>
      </c>
      <c r="J20" s="19">
        <f t="shared" si="4"/>
        <v>150</v>
      </c>
      <c r="K20" s="19">
        <f t="shared" si="2"/>
        <v>13786.775465521623</v>
      </c>
      <c r="L20" s="19">
        <f t="shared" si="5"/>
        <v>19346.422245860351</v>
      </c>
    </row>
    <row r="21" spans="1:12" x14ac:dyDescent="0.2">
      <c r="A21">
        <v>5</v>
      </c>
      <c r="B21" s="16" cm="1">
        <f t="array" ref="B21">IF(A21&lt;=n,act_nGrAx(x+$A21,MAX(0,n-$A21),Sex,MortalityTable,InterestRate)+Act_Dx(x+n,Sex,MortalityTable,InterestRate)/Act_Dx(x+$A21,Sex,MortalityTable,InterestRate),0)</f>
        <v>0.68341719128162604</v>
      </c>
      <c r="C21" s="17" cm="1">
        <f t="array" ref="C21">Act_axn_k(x+$A21,MAX(0,n-$A21),Sex,MortalityTable,InterestRate,1)</f>
        <v>18.407029021196891</v>
      </c>
      <c r="D21" s="17" cm="1">
        <f t="array" ref="D21">Act_axn_k(x+$A21,MAX(0,t-$A21),Sex,MortalityTable,InterestRate,1)</f>
        <v>12.749382293026253</v>
      </c>
      <c r="E21" s="16" cm="1">
        <f t="array" ref="E21">B21-P_xt*D21+gamma2*(C21-Act_axn_k(x,n,Sex,MortalityTable,InterestRate,1)/Act_axn_k(x,t,Sex,MortalityTable,InterestRate,1)*D21)</f>
        <v>0.17536945425788478</v>
      </c>
      <c r="F21" s="19">
        <f t="shared" si="0"/>
        <v>17536.945425788479</v>
      </c>
      <c r="G21" s="16">
        <f t="shared" si="1"/>
        <v>0.72943476383461825</v>
      </c>
      <c r="H21" s="19" cm="1">
        <f t="array" ref="H21">F21+alpha*t*GrossAnnualPrem*Act_axn_k(x+A21,MAX(5-A21,0),Sex,MortalityTable,InterestRate,1)/Act_axn_k(x,5,Sex,MortalityTable,InterestRate,1)</f>
        <v>17536.945425788479</v>
      </c>
      <c r="I21" s="21">
        <f t="shared" si="3"/>
        <v>0</v>
      </c>
      <c r="J21" s="19">
        <f t="shared" si="4"/>
        <v>150</v>
      </c>
      <c r="K21" s="19">
        <f t="shared" si="2"/>
        <v>17386.945425788479</v>
      </c>
      <c r="L21" s="19">
        <f t="shared" si="5"/>
        <v>24041.828406418754</v>
      </c>
    </row>
    <row r="22" spans="1:12" x14ac:dyDescent="0.2">
      <c r="A22">
        <v>6</v>
      </c>
      <c r="B22" s="16" cm="1">
        <f t="array" ref="B22">IF(A22&lt;=n,act_nGrAx(x+$A22,MAX(0,n-$A22),Sex,MortalityTable,InterestRate)+Act_Dx(x+n,Sex,MortalityTable,InterestRate)/Act_Dx(x+$A22,Sex,MortalityTable,InterestRate),0)</f>
        <v>0.69412289600266475</v>
      </c>
      <c r="C22" s="17" cm="1">
        <f t="array" ref="C22">Act_axn_k(x+$A22,MAX(0,n-$A22),Sex,MortalityTable,InterestRate,1)</f>
        <v>17.784568760987899</v>
      </c>
      <c r="D22" s="17" cm="1">
        <f t="array" ref="D22">Act_axn_k(x+$A22,MAX(0,t-$A22),Sex,MortalityTable,InterestRate,1)</f>
        <v>12.004213759568451</v>
      </c>
      <c r="E22" s="16" cm="1">
        <f t="array" ref="E22">B22-P_xt*D22+gamma2*(C22-Act_axn_k(x,n,Sex,MortalityTable,InterestRate,1)/Act_axn_k(x,t,Sex,MortalityTable,InterestRate,1)*D22)</f>
        <v>0.21633596864084273</v>
      </c>
      <c r="F22" s="19">
        <f t="shared" si="0"/>
        <v>21633.596864084273</v>
      </c>
      <c r="G22" s="16">
        <f t="shared" si="1"/>
        <v>0.73858431790513446</v>
      </c>
      <c r="H22" s="19" cm="1">
        <f t="array" ref="H22">F22+alpha*t*GrossAnnualPrem*Act_axn_k(x+A22,MAX(5-A22,0),Sex,MortalityTable,InterestRate,1)/Act_axn_k(x,5,Sex,MortalityTable,InterestRate,1)</f>
        <v>21633.596864084273</v>
      </c>
      <c r="I22" s="21">
        <f t="shared" si="3"/>
        <v>0</v>
      </c>
      <c r="J22" s="19">
        <f t="shared" si="4"/>
        <v>150</v>
      </c>
      <c r="K22" s="19">
        <f t="shared" si="2"/>
        <v>21483.596864084273</v>
      </c>
      <c r="L22" s="19">
        <f t="shared" si="5"/>
        <v>29290.625781825689</v>
      </c>
    </row>
    <row r="23" spans="1:12" x14ac:dyDescent="0.2">
      <c r="A23">
        <v>7</v>
      </c>
      <c r="B23" s="16" cm="1">
        <f t="array" ref="B23">IF(A23&lt;=n,act_nGrAx(x+$A23,MAX(0,n-$A23),Sex,MortalityTable,InterestRate)+Act_Dx(x+n,Sex,MortalityTable,InterestRate)/Act_Dx(x+$A23,Sex,MortalityTable,InterestRate),0)</f>
        <v>0.70493576621754772</v>
      </c>
      <c r="C23" s="17" cm="1">
        <f t="array" ref="C23">Act_axn_k(x+$A23,MAX(0,n-$A23),Sex,MortalityTable,InterestRate,1)</f>
        <v>17.15587759277976</v>
      </c>
      <c r="D23" s="17" cm="1">
        <f t="array" ref="D23">Act_axn_k(x+$A23,MAX(0,t-$A23),Sex,MortalityTable,InterestRate,1)</f>
        <v>11.247649370815745</v>
      </c>
      <c r="E23" s="16" cm="1">
        <f t="array" ref="E23">B23-P_xt*D23+gamma2*(C23-Act_axn_k(x,n,Sex,MortalityTable,InterestRate,1)/Act_axn_k(x,t,Sex,MortalityTable,InterestRate,1)*D23)</f>
        <v>0.25787653725554543</v>
      </c>
      <c r="F23" s="19">
        <f t="shared" si="0"/>
        <v>25787.653725554545</v>
      </c>
      <c r="G23" s="16">
        <f t="shared" si="1"/>
        <v>0.74782546019949714</v>
      </c>
      <c r="H23" s="19" cm="1">
        <f t="array" ref="H23">F23+alpha*t*GrossAnnualPrem*Act_axn_k(x+A23,MAX(5-A23,0),Sex,MortalityTable,InterestRate,1)/Act_axn_k(x,5,Sex,MortalityTable,InterestRate,1)</f>
        <v>25787.653725554545</v>
      </c>
      <c r="I23" s="21">
        <f t="shared" si="3"/>
        <v>0</v>
      </c>
      <c r="J23" s="19">
        <f t="shared" si="4"/>
        <v>150</v>
      </c>
      <c r="K23" s="19">
        <f t="shared" si="2"/>
        <v>25637.653725554545</v>
      </c>
      <c r="L23" s="19">
        <f t="shared" si="5"/>
        <v>34483.519347783615</v>
      </c>
    </row>
    <row r="24" spans="1:12" x14ac:dyDescent="0.2">
      <c r="A24">
        <v>8</v>
      </c>
      <c r="B24" s="16" cm="1">
        <f t="array" ref="B24">IF(A24&lt;=n,act_nGrAx(x+$A24,MAX(0,n-$A24),Sex,MortalityTable,InterestRate)+Act_Dx(x+n,Sex,MortalityTable,InterestRate)/Act_Dx(x+$A24,Sex,MortalityTable,InterestRate),0)</f>
        <v>0.71585625383923435</v>
      </c>
      <c r="C24" s="17" cm="1">
        <f t="array" ref="C24">Act_axn_k(x+$A24,MAX(0,n-$A24),Sex,MortalityTable,InterestRate,1)</f>
        <v>16.520929241061609</v>
      </c>
      <c r="D24" s="17" cm="1">
        <f t="array" ref="D24">Act_axn_k(x+$A24,MAX(0,t-$A24),Sex,MortalityTable,InterestRate,1)</f>
        <v>10.479201093855696</v>
      </c>
      <c r="E24" s="16" cm="1">
        <f t="array" ref="E24">B24-P_xt*D24+gamma2*(C24-Act_axn_k(x,n,Sex,MortalityTable,InterestRate,1)/Act_axn_k(x,t,Sex,MortalityTable,InterestRate,1)*D24)</f>
        <v>0.30001190745438006</v>
      </c>
      <c r="F24" s="19">
        <f t="shared" si="0"/>
        <v>30001.190745438005</v>
      </c>
      <c r="G24" s="16">
        <f t="shared" si="1"/>
        <v>0.75715857694188837</v>
      </c>
      <c r="H24" s="19" cm="1">
        <f t="array" ref="H24">F24+alpha*t*GrossAnnualPrem*Act_axn_k(x+A24,MAX(5-A24,0),Sex,MortalityTable,InterestRate,1)/Act_axn_k(x,5,Sex,MortalityTable,InterestRate,1)</f>
        <v>30001.190745438005</v>
      </c>
      <c r="I24" s="21">
        <f t="shared" si="3"/>
        <v>0</v>
      </c>
      <c r="J24" s="19">
        <f t="shared" si="4"/>
        <v>150</v>
      </c>
      <c r="K24" s="19">
        <f t="shared" si="2"/>
        <v>29851.190745438005</v>
      </c>
      <c r="L24" s="19">
        <f t="shared" si="5"/>
        <v>39623.391531283654</v>
      </c>
    </row>
    <row r="25" spans="1:12" x14ac:dyDescent="0.2">
      <c r="A25">
        <v>9</v>
      </c>
      <c r="B25" s="16" cm="1">
        <f t="array" ref="B25">IF(A25&lt;=n,act_nGrAx(x+$A25,MAX(0,n-$A25),Sex,MortalityTable,InterestRate)+Act_Dx(x+n,Sex,MortalityTable,InterestRate)/Act_Dx(x+$A25,Sex,MortalityTable,InterestRate),0)</f>
        <v>0.72687938996132817</v>
      </c>
      <c r="C25" s="17" cm="1">
        <f t="array" ref="C25">Act_axn_k(x+$A25,MAX(0,n-$A25),Sex,MortalityTable,InterestRate,1)</f>
        <v>15.880012612248448</v>
      </c>
      <c r="D25" s="17" cm="1">
        <f t="array" ref="D25">Act_axn_k(x+$A25,MAX(0,t-$A25),Sex,MortalityTable,InterestRate,1)</f>
        <v>9.6985064867270605</v>
      </c>
      <c r="E25" s="16" cm="1">
        <f t="array" ref="E25">B25-P_xt*D25+gamma2*(C25-Act_axn_k(x,n,Sex,MortalityTable,InterestRate,1)/Act_axn_k(x,t,Sex,MortalityTable,InterestRate,1)*D25)</f>
        <v>0.34275256844383917</v>
      </c>
      <c r="F25" s="19">
        <f t="shared" si="0"/>
        <v>34275.256844383919</v>
      </c>
      <c r="G25" s="16">
        <f t="shared" si="1"/>
        <v>0.76657942149194924</v>
      </c>
      <c r="H25" s="19" cm="1">
        <f t="array" ref="H25">F25+alpha*t*GrossAnnualPrem*Act_axn_k(x+A25,MAX(5-A25,0),Sex,MortalityTable,InterestRate,1)/Act_axn_k(x,5,Sex,MortalityTable,InterestRate,1)</f>
        <v>34275.256844383919</v>
      </c>
      <c r="I25" s="21">
        <f t="shared" si="3"/>
        <v>0</v>
      </c>
      <c r="J25" s="19">
        <f t="shared" si="4"/>
        <v>150</v>
      </c>
      <c r="K25" s="19">
        <f t="shared" si="2"/>
        <v>34125.256844383919</v>
      </c>
      <c r="L25" s="19">
        <f t="shared" si="5"/>
        <v>44711.944885861878</v>
      </c>
    </row>
    <row r="26" spans="1:12" x14ac:dyDescent="0.2">
      <c r="A26">
        <v>10</v>
      </c>
      <c r="B26" s="16" cm="1">
        <f t="array" ref="B26">IF(A26&lt;=n,act_nGrAx(x+$A26,MAX(0,n-$A26),Sex,MortalityTable,InterestRate)+Act_Dx(x+n,Sex,MortalityTable,InterestRate)/Act_Dx(x+$A26,Sex,MortalityTable,InterestRate),0)</f>
        <v>0.73800317060733223</v>
      </c>
      <c r="C26" s="17" cm="1">
        <f t="array" ref="C26">Act_axn_k(x+$A26,MAX(0,n-$A26),Sex,MortalityTable,InterestRate,1)</f>
        <v>15.233244223259339</v>
      </c>
      <c r="D26" s="17" cm="1">
        <f t="array" ref="D26">Act_axn_k(x+$A26,MAX(0,t-$A26),Sex,MortalityTable,InterestRate,1)</f>
        <v>8.9049974044273643</v>
      </c>
      <c r="E26" s="16" cm="1">
        <f t="array" ref="E26">B26-P_xt*D26+gamma2*(C26-Act_axn_k(x,n,Sex,MortalityTable,InterestRate,1)/Act_axn_k(x,t,Sex,MortalityTable,InterestRate,1)*D26)</f>
        <v>0.38612032712713734</v>
      </c>
      <c r="F26" s="19">
        <f t="shared" si="0"/>
        <v>38612.032712713735</v>
      </c>
      <c r="G26" s="16">
        <f t="shared" si="1"/>
        <v>0.77608628116548062</v>
      </c>
      <c r="H26" s="19" cm="1">
        <f t="array" ref="H26">F26+alpha*t*GrossAnnualPrem*Act_axn_k(x+A26,MAX(5-A26,0),Sex,MortalityTable,InterestRate,1)/Act_axn_k(x,5,Sex,MortalityTable,InterestRate,1)</f>
        <v>38612.032712713735</v>
      </c>
      <c r="I26" s="21">
        <f t="shared" si="3"/>
        <v>0</v>
      </c>
      <c r="J26" s="19">
        <f t="shared" si="4"/>
        <v>150</v>
      </c>
      <c r="K26" s="19">
        <f t="shared" si="2"/>
        <v>38462.032712713735</v>
      </c>
      <c r="L26" s="19">
        <f t="shared" si="5"/>
        <v>49752.242308327448</v>
      </c>
    </row>
    <row r="27" spans="1:12" x14ac:dyDescent="0.2">
      <c r="A27">
        <v>11</v>
      </c>
      <c r="B27" s="16" cm="1">
        <f t="array" ref="B27">IF(A27&lt;=n,act_nGrAx(x+$A27,MAX(0,n-$A27),Sex,MortalityTable,InterestRate)+Act_Dx(x+n,Sex,MortalityTable,InterestRate)/Act_Dx(x+$A27,Sex,MortalityTable,InterestRate),0)</f>
        <v>0.74922524572686089</v>
      </c>
      <c r="C27" s="17" cm="1">
        <f t="array" ref="C27">Act_axn_k(x+$A27,MAX(0,n-$A27),Sex,MortalityTable,InterestRate,1)</f>
        <v>14.580760712738069</v>
      </c>
      <c r="D27" s="17" cm="1">
        <f t="array" ref="D27">Act_axn_k(x+$A27,MAX(0,t-$A27),Sex,MortalityTable,InterestRate,1)</f>
        <v>8.098004487298601</v>
      </c>
      <c r="E27" s="16" cm="1">
        <f t="array" ref="E27">B27-P_xt*D27+gamma2*(C27-Act_axn_k(x,n,Sex,MortalityTable,InterestRate,1)/Act_axn_k(x,t,Sex,MortalityTable,InterestRate,1)*D27)</f>
        <v>0.43014088543142642</v>
      </c>
      <c r="F27" s="19">
        <f t="shared" si="0"/>
        <v>43014.088543142643</v>
      </c>
      <c r="G27" s="16">
        <f t="shared" si="1"/>
        <v>0.7856771475087061</v>
      </c>
      <c r="H27" s="19" cm="1">
        <f t="array" ref="H27">F27+alpha*t*GrossAnnualPrem*Act_axn_k(x+A27,MAX(5-A27,0),Sex,MortalityTable,InterestRate,1)/Act_axn_k(x,5,Sex,MortalityTable,InterestRate,1)</f>
        <v>43014.088543142643</v>
      </c>
      <c r="I27" s="21">
        <f t="shared" si="3"/>
        <v>0</v>
      </c>
      <c r="J27" s="19">
        <f t="shared" si="4"/>
        <v>150</v>
      </c>
      <c r="K27" s="19">
        <f t="shared" si="2"/>
        <v>42864.088543142643</v>
      </c>
      <c r="L27" s="19">
        <f t="shared" si="5"/>
        <v>54747.791353656503</v>
      </c>
    </row>
    <row r="28" spans="1:12" x14ac:dyDescent="0.2">
      <c r="A28">
        <v>12</v>
      </c>
      <c r="B28" s="16" cm="1">
        <f t="array" ref="B28">IF(A28&lt;=n,act_nGrAx(x+$A28,MAX(0,n-$A28),Sex,MortalityTable,InterestRate)+Act_Dx(x+n,Sex,MortalityTable,InterestRate)/Act_Dx(x+$A28,Sex,MortalityTable,InterestRate),0)</f>
        <v>0.7605443620772302</v>
      </c>
      <c r="C28" s="17" cm="1">
        <f t="array" ref="C28">Act_axn_k(x+$A28,MAX(0,n-$A28),Sex,MortalityTable,InterestRate,1)</f>
        <v>13.922634947795249</v>
      </c>
      <c r="D28" s="17" cm="1">
        <f t="array" ref="D28">Act_axn_k(x+$A28,MAX(0,t-$A28),Sex,MortalityTable,InterestRate,1)</f>
        <v>7.276685557222148</v>
      </c>
      <c r="E28" s="16" cm="1">
        <f t="array" ref="E28">B28-P_xt*D28+gamma2*(C28-Act_axn_k(x,n,Sex,MortalityTable,InterestRate,1)/Act_axn_k(x,t,Sex,MortalityTable,InterestRate,1)*D28)</f>
        <v>0.4748481608726271</v>
      </c>
      <c r="F28" s="19">
        <f t="shared" si="0"/>
        <v>47484.816087262712</v>
      </c>
      <c r="G28" s="16">
        <f t="shared" si="1"/>
        <v>0.79535094944671836</v>
      </c>
      <c r="H28" s="19" cm="1">
        <f t="array" ref="H28">F28+alpha*t*GrossAnnualPrem*Act_axn_k(x+A28,MAX(5-A28,0),Sex,MortalityTable,InterestRate,1)/Act_axn_k(x,5,Sex,MortalityTable,InterestRate,1)</f>
        <v>47484.816087262712</v>
      </c>
      <c r="I28" s="21">
        <f t="shared" si="3"/>
        <v>0</v>
      </c>
      <c r="J28" s="19">
        <f t="shared" si="4"/>
        <v>150</v>
      </c>
      <c r="K28" s="19">
        <f t="shared" si="2"/>
        <v>47334.816087262712</v>
      </c>
      <c r="L28" s="19">
        <f t="shared" si="5"/>
        <v>59702.972782386532</v>
      </c>
    </row>
    <row r="29" spans="1:12" x14ac:dyDescent="0.2">
      <c r="A29">
        <v>13</v>
      </c>
      <c r="B29" s="16" cm="1">
        <f t="array" ref="B29">IF(A29&lt;=n,act_nGrAx(x+$A29,MAX(0,n-$A29),Sex,MortalityTable,InterestRate)+Act_Dx(x+n,Sex,MortalityTable,InterestRate)/Act_Dx(x+$A29,Sex,MortalityTable,InterestRate),0)</f>
        <v>0.77196070619642554</v>
      </c>
      <c r="C29" s="17" cm="1">
        <f t="array" ref="C29">Act_axn_k(x+$A29,MAX(0,n-$A29),Sex,MortalityTable,InterestRate,1)</f>
        <v>13.258856082579262</v>
      </c>
      <c r="D29" s="17" cm="1">
        <f t="array" ref="D29">Act_axn_k(x+$A29,MAX(0,t-$A29),Sex,MortalityTable,InterestRate,1)</f>
        <v>6.4399923711387439</v>
      </c>
      <c r="E29" s="16" cm="1">
        <f t="array" ref="E29">B29-P_xt*D29+gamma2*(C29-Act_axn_k(x,n,Sex,MortalityTable,InterestRate,1)/Act_axn_k(x,t,Sex,MortalityTable,InterestRate,1)*D29)</f>
        <v>0.52028598943419979</v>
      </c>
      <c r="F29" s="19">
        <f t="shared" si="0"/>
        <v>52028.59894341998</v>
      </c>
      <c r="G29" s="16">
        <f t="shared" si="1"/>
        <v>0.80510784640287369</v>
      </c>
      <c r="H29" s="19" cm="1">
        <f t="array" ref="H29">F29+alpha*t*GrossAnnualPrem*Act_axn_k(x+A29,MAX(5-A29,0),Sex,MortalityTable,InterestRate,1)/Act_axn_k(x,5,Sex,MortalityTable,InterestRate,1)</f>
        <v>52028.59894341998</v>
      </c>
      <c r="I29" s="21">
        <f t="shared" si="3"/>
        <v>0</v>
      </c>
      <c r="J29" s="19">
        <f t="shared" si="4"/>
        <v>150</v>
      </c>
      <c r="K29" s="19">
        <f t="shared" si="2"/>
        <v>51878.59894341998</v>
      </c>
      <c r="L29" s="19">
        <f t="shared" si="5"/>
        <v>64623.142322954103</v>
      </c>
    </row>
    <row r="30" spans="1:12" x14ac:dyDescent="0.2">
      <c r="A30">
        <v>14</v>
      </c>
      <c r="B30" s="16" cm="1">
        <f t="array" ref="B30">IF(A30&lt;=n,act_nGrAx(x+$A30,MAX(0,n-$A30),Sex,MortalityTable,InterestRate)+Act_Dx(x+n,Sex,MortalityTable,InterestRate)/Act_Dx(x+$A30,Sex,MortalityTable,InterestRate),0)</f>
        <v>0.78347473826800151</v>
      </c>
      <c r="C30" s="17" cm="1">
        <f t="array" ref="C30">Act_axn_k(x+$A30,MAX(0,n-$A30),Sex,MortalityTable,InterestRate,1)</f>
        <v>12.589397360703279</v>
      </c>
      <c r="D30" s="17" cm="1">
        <f t="array" ref="D30">Act_axn_k(x+$A30,MAX(0,t-$A30),Sex,MortalityTable,InterestRate,1)</f>
        <v>5.5866734333217298</v>
      </c>
      <c r="E30" s="16" cm="1">
        <f t="array" ref="E30">B30-P_xt*D30+gamma2*(C30-Act_axn_k(x,n,Sex,MortalityTable,InterestRate,1)/Act_axn_k(x,t,Sex,MortalityTable,InterestRate,1)*D30)</f>
        <v>0.5665069270440265</v>
      </c>
      <c r="F30" s="19">
        <f t="shared" si="0"/>
        <v>56650.692704402652</v>
      </c>
      <c r="G30" s="16">
        <f t="shared" si="1"/>
        <v>0.81494823166975972</v>
      </c>
      <c r="H30" s="19" cm="1">
        <f t="array" ref="H30">F30+alpha*t*GrossAnnualPrem*Act_axn_k(x+A30,MAX(5-A30,0),Sex,MortalityTable,InterestRate,1)/Act_axn_k(x,5,Sex,MortalityTable,InterestRate,1)</f>
        <v>56650.692704402652</v>
      </c>
      <c r="I30" s="21">
        <f t="shared" si="3"/>
        <v>0</v>
      </c>
      <c r="J30" s="19">
        <f t="shared" si="4"/>
        <v>150</v>
      </c>
      <c r="K30" s="19">
        <f t="shared" si="2"/>
        <v>56500.692704402652</v>
      </c>
      <c r="L30" s="19">
        <f t="shared" si="5"/>
        <v>69514.46791697455</v>
      </c>
    </row>
    <row r="31" spans="1:12" x14ac:dyDescent="0.2">
      <c r="A31">
        <v>15</v>
      </c>
      <c r="B31" s="16" cm="1">
        <f t="array" ref="B31">IF(A31&lt;=n,act_nGrAx(x+$A31,MAX(0,n-$A31),Sex,MortalityTable,InterestRate)+Act_Dx(x+n,Sex,MortalityTable,InterestRate)/Act_Dx(x+$A31,Sex,MortalityTable,InterestRate),0)</f>
        <v>0.79509655557174597</v>
      </c>
      <c r="C31" s="17" cm="1">
        <f t="array" ref="C31">Act_axn_k(x+$A31,MAX(0,n-$A31),Sex,MortalityTable,InterestRate,1)</f>
        <v>11.913671697471306</v>
      </c>
      <c r="D31" s="17" cm="1">
        <f t="array" ref="D31">Act_axn_k(x+$A31,MAX(0,t-$A31),Sex,MortalityTable,InterestRate,1)</f>
        <v>4.7150097427320183</v>
      </c>
      <c r="E31" s="16" cm="1">
        <f t="array" ref="E31">B31-P_xt*D31+gamma2*(C31-Act_axn_k(x,n,Sex,MortalityTable,InterestRate,1)/Act_axn_k(x,t,Sex,MortalityTable,InterestRate,1)*D31)</f>
        <v>0.61359193955305902</v>
      </c>
      <c r="F31" s="19">
        <f t="shared" si="0"/>
        <v>61359.193955305898</v>
      </c>
      <c r="G31" s="16">
        <f t="shared" si="1"/>
        <v>0.82488073481542423</v>
      </c>
      <c r="H31" s="19" cm="1">
        <f t="array" ref="H31">F31+alpha*t*GrossAnnualPrem*Act_axn_k(x+A31,MAX(5-A31,0),Sex,MortalityTable,InterestRate,1)/Act_axn_k(x,5,Sex,MortalityTable,InterestRate,1)</f>
        <v>61359.193955305898</v>
      </c>
      <c r="I31" s="21">
        <f t="shared" si="3"/>
        <v>0</v>
      </c>
      <c r="J31" s="19">
        <f t="shared" si="4"/>
        <v>150</v>
      </c>
      <c r="K31" s="19">
        <f t="shared" si="2"/>
        <v>61209.193955305898</v>
      </c>
      <c r="L31" s="19">
        <f t="shared" si="5"/>
        <v>74385.534011817683</v>
      </c>
    </row>
    <row r="32" spans="1:12" x14ac:dyDescent="0.2">
      <c r="A32">
        <v>16</v>
      </c>
      <c r="B32" s="16" cm="1">
        <f t="array" ref="B32">IF(A32&lt;=n,act_nGrAx(x+$A32,MAX(0,n-$A32),Sex,MortalityTable,InterestRate)+Act_Dx(x+n,Sex,MortalityTable,InterestRate)/Act_Dx(x+$A32,Sex,MortalityTable,InterestRate),0)</f>
        <v>0.80684040407442925</v>
      </c>
      <c r="C32" s="17" cm="1">
        <f t="array" ref="C32">Act_axn_k(x+$A32,MAX(0,n-$A32),Sex,MortalityTable,InterestRate,1)</f>
        <v>11.230850791672268</v>
      </c>
      <c r="D32" s="17" cm="1">
        <f t="array" ref="D32">Act_axn_k(x+$A32,MAX(0,t-$A32),Sex,MortalityTable,InterestRate,1)</f>
        <v>3.8229773871518575</v>
      </c>
      <c r="E32" s="16" cm="1">
        <f t="array" ref="E32">B32-P_xt*D32+gamma2*(C32-Act_axn_k(x,n,Sex,MortalityTable,InterestRate,1)/Act_axn_k(x,t,Sex,MortalityTable,InterestRate,1)*D32)</f>
        <v>0.66163854059942906</v>
      </c>
      <c r="F32" s="19">
        <f t="shared" si="0"/>
        <v>66163.854059942911</v>
      </c>
      <c r="G32" s="16">
        <f t="shared" si="1"/>
        <v>0.83491753105360988</v>
      </c>
      <c r="H32" s="19" cm="1">
        <f t="array" ref="H32">F32+alpha*t*GrossAnnualPrem*Act_axn_k(x+A32,MAX(5-A32,0),Sex,MortalityTable,InterestRate,1)/Act_axn_k(x,5,Sex,MortalityTable,InterestRate,1)</f>
        <v>66163.854059942911</v>
      </c>
      <c r="I32" s="21">
        <f t="shared" si="3"/>
        <v>0</v>
      </c>
      <c r="J32" s="19">
        <f t="shared" si="4"/>
        <v>150</v>
      </c>
      <c r="K32" s="19">
        <f t="shared" si="2"/>
        <v>66013.854059942911</v>
      </c>
      <c r="L32" s="19">
        <f t="shared" si="5"/>
        <v>79245.975319800229</v>
      </c>
    </row>
    <row r="33" spans="1:12" x14ac:dyDescent="0.2">
      <c r="A33">
        <v>17</v>
      </c>
      <c r="B33" s="16" cm="1">
        <f t="array" ref="B33">IF(A33&lt;=n,act_nGrAx(x+$A33,MAX(0,n-$A33),Sex,MortalityTable,InterestRate)+Act_Dx(x+n,Sex,MortalityTable,InterestRate)/Act_Dx(x+$A33,Sex,MortalityTable,InterestRate),0)</f>
        <v>0.81872315487691227</v>
      </c>
      <c r="C33" s="17" cm="1">
        <f t="array" ref="C33">Act_axn_k(x+$A33,MAX(0,n-$A33),Sex,MortalityTable,InterestRate,1)</f>
        <v>10.539953709299303</v>
      </c>
      <c r="D33" s="17" cm="1">
        <f t="array" ref="D33">Act_axn_k(x+$A33,MAX(0,t-$A33),Sex,MortalityTable,InterestRate,1)</f>
        <v>2.9082675125316699</v>
      </c>
      <c r="E33" s="16" cm="1">
        <f t="array" ref="E33">B33-P_xt*D33+gamma2*(C33-Act_axn_k(x,n,Sex,MortalityTable,InterestRate,1)/Act_axn_k(x,t,Sex,MortalityTable,InterestRate,1)*D33)</f>
        <v>0.71075854699181529</v>
      </c>
      <c r="F33" s="19">
        <f t="shared" si="0"/>
        <v>71075.854699181524</v>
      </c>
      <c r="G33" s="16">
        <f t="shared" si="1"/>
        <v>0.84507303915016052</v>
      </c>
      <c r="H33" s="19" cm="1">
        <f t="array" ref="H33">F33+alpha*t*GrossAnnualPrem*Act_axn_k(x+A33,MAX(5-A33,0),Sex,MortalityTable,InterestRate,1)/Act_axn_k(x,5,Sex,MortalityTable,InterestRate,1)</f>
        <v>71075.854699181524</v>
      </c>
      <c r="I33" s="21">
        <f t="shared" si="3"/>
        <v>0</v>
      </c>
      <c r="J33" s="19">
        <f t="shared" si="4"/>
        <v>150</v>
      </c>
      <c r="K33" s="19">
        <f t="shared" si="2"/>
        <v>70925.854699181524</v>
      </c>
      <c r="L33" s="19">
        <f t="shared" si="5"/>
        <v>84106.167640442378</v>
      </c>
    </row>
    <row r="34" spans="1:12" x14ac:dyDescent="0.2">
      <c r="A34">
        <v>18</v>
      </c>
      <c r="B34" s="16" cm="1">
        <f t="array" ref="B34">IF(A34&lt;=n,act_nGrAx(x+$A34,MAX(0,n-$A34),Sex,MortalityTable,InterestRate)+Act_Dx(x+n,Sex,MortalityTable,InterestRate)/Act_Dx(x+$A34,Sex,MortalityTable,InterestRate),0)</f>
        <v>0.83076289364646305</v>
      </c>
      <c r="C34" s="17" cm="1">
        <f t="array" ref="C34">Act_axn_k(x+$A34,MAX(0,n-$A34),Sex,MortalityTable,InterestRate,1)</f>
        <v>9.8399288979838673</v>
      </c>
      <c r="D34" s="17" cm="1">
        <f t="array" ref="D34">Act_axn_k(x+$A34,MAX(0,t-$A34),Sex,MortalityTable,InterestRate,1)</f>
        <v>1.9682712530712323</v>
      </c>
      <c r="E34" s="16" cm="1">
        <f t="array" ref="E34">B34-P_xt*D34+gamma2*(C34-Act_axn_k(x,n,Sex,MortalityTable,InterestRate,1)/Act_axn_k(x,t,Sex,MortalityTable,InterestRate,1)*D34)</f>
        <v>0.76107739837481847</v>
      </c>
      <c r="F34" s="19">
        <f t="shared" si="0"/>
        <v>76107.739837481844</v>
      </c>
      <c r="G34" s="16">
        <f t="shared" si="1"/>
        <v>0.85536271589142276</v>
      </c>
      <c r="H34" s="19" cm="1">
        <f t="array" ref="H34">F34+alpha*t*GrossAnnualPrem*Act_axn_k(x+A34,MAX(5-A34,0),Sex,MortalityTable,InterestRate,1)/Act_axn_k(x,5,Sex,MortalityTable,InterestRate,1)</f>
        <v>76107.739837481844</v>
      </c>
      <c r="I34" s="21">
        <f t="shared" si="3"/>
        <v>0</v>
      </c>
      <c r="J34" s="19">
        <f t="shared" si="4"/>
        <v>150</v>
      </c>
      <c r="K34" s="19">
        <f t="shared" si="2"/>
        <v>75957.739837481844</v>
      </c>
      <c r="L34" s="19">
        <f t="shared" si="5"/>
        <v>88977.153695746005</v>
      </c>
    </row>
    <row r="35" spans="1:12" x14ac:dyDescent="0.2">
      <c r="A35">
        <v>19</v>
      </c>
      <c r="B35" s="16" cm="1">
        <f t="array" ref="B35">IF(A35&lt;=n,act_nGrAx(x+$A35,MAX(0,n-$A35),Sex,MortalityTable,InterestRate)+Act_Dx(x+n,Sex,MortalityTable,InterestRate)/Act_Dx(x+$A35,Sex,MortalityTable,InterestRate),0)</f>
        <v>0.84297985851354329</v>
      </c>
      <c r="C35" s="17" cm="1">
        <f t="array" ref="C35">Act_axn_k(x+$A35,MAX(0,n-$A35),Sex,MortalityTable,InterestRate,1)</f>
        <v>9.1295996549981115</v>
      </c>
      <c r="D35" s="17" cm="1">
        <f t="array" ref="D35">Act_axn_k(x+$A35,MAX(0,t-$A35),Sex,MortalityTable,InterestRate,1)</f>
        <v>0.99999999999999722</v>
      </c>
      <c r="E35" s="16" cm="1">
        <f t="array" ref="E35">B35-P_xt*D35+gamma2*(C35-Act_axn_k(x,n,Sex,MortalityTable,InterestRate,1)/Act_axn_k(x,t,Sex,MortalityTable,InterestRate,1)*D35)</f>
        <v>0.81273834804590928</v>
      </c>
      <c r="F35" s="19">
        <f t="shared" si="0"/>
        <v>81273.834804590922</v>
      </c>
      <c r="G35" s="16">
        <f t="shared" si="1"/>
        <v>0.86580385765103862</v>
      </c>
      <c r="H35" s="19" cm="1">
        <f t="array" ref="H35">F35+alpha*t*GrossAnnualPrem*Act_axn_k(x+A35,MAX(5-A35,0),Sex,MortalityTable,InterestRate,1)/Act_axn_k(x,5,Sex,MortalityTable,InterestRate,1)</f>
        <v>81273.834804590922</v>
      </c>
      <c r="I35" s="21">
        <f t="shared" si="3"/>
        <v>0</v>
      </c>
      <c r="J35" s="19">
        <f t="shared" si="4"/>
        <v>150</v>
      </c>
      <c r="K35" s="19">
        <f t="shared" si="2"/>
        <v>81123.834804590922</v>
      </c>
      <c r="L35" s="19">
        <f t="shared" si="5"/>
        <v>93870.954820056097</v>
      </c>
    </row>
    <row r="36" spans="1:12" x14ac:dyDescent="0.2">
      <c r="A36">
        <v>20</v>
      </c>
      <c r="B36" s="16" cm="1">
        <f t="array" ref="B36">IF(A36&lt;=n,act_nGrAx(x+$A36,MAX(0,n-$A36),Sex,MortalityTable,InterestRate)+Act_Dx(x+n,Sex,MortalityTable,InterestRate)/Act_Dx(x+$A36,Sex,MortalityTable,InterestRate),0)</f>
        <v>0.85539666213094412</v>
      </c>
      <c r="C36" s="17" cm="1">
        <f t="array" ref="C36">Act_axn_k(x+$A36,MAX(0,n-$A36),Sex,MortalityTable,InterestRate,1)</f>
        <v>8.4076512161005947</v>
      </c>
      <c r="D36" s="17" cm="1">
        <f t="array" ref="D36">Act_axn_k(x+$A36,MAX(0,t-$A36),Sex,MortalityTable,InterestRate,1)</f>
        <v>0</v>
      </c>
      <c r="E36" s="16" cm="1">
        <f t="array" ref="E36">B36-P_xt*D36+gamma2*(C36-Act_axn_k(x,n,Sex,MortalityTable,InterestRate,1)/Act_axn_k(x,t,Sex,MortalityTable,InterestRate,1)*D36)</f>
        <v>0.86590622615106982</v>
      </c>
      <c r="F36" s="19">
        <f t="shared" si="0"/>
        <v>86590.622615106986</v>
      </c>
      <c r="G36" s="16">
        <f t="shared" si="1"/>
        <v>0.87641579017119564</v>
      </c>
      <c r="H36" s="19" cm="1">
        <f t="array" ref="H36">F36+alpha*t*GrossAnnualPrem*Act_axn_k(x+A36,MAX(5-A36,0),Sex,MortalityTable,InterestRate,1)/Act_axn_k(x,5,Sex,MortalityTable,InterestRate,1)</f>
        <v>86590.622615106986</v>
      </c>
      <c r="I36" s="21">
        <f t="shared" si="3"/>
        <v>0</v>
      </c>
      <c r="J36" s="19">
        <f t="shared" si="4"/>
        <v>134.09377384893014</v>
      </c>
      <c r="K36" s="19">
        <f t="shared" si="2"/>
        <v>86456.528841258056</v>
      </c>
      <c r="L36" s="19">
        <f t="shared" si="5"/>
        <v>100000</v>
      </c>
    </row>
    <row r="37" spans="1:12" x14ac:dyDescent="0.2">
      <c r="A37">
        <v>21</v>
      </c>
      <c r="B37" s="16" cm="1">
        <f t="array" ref="B37">IF(A37&lt;=n,act_nGrAx(x+$A37,MAX(0,n-$A37),Sex,MortalityTable,InterestRate)+Act_Dx(x+n,Sex,MortalityTable,InterestRate)/Act_Dx(x+$A37,Sex,MortalityTable,InterestRate),0)</f>
        <v>0.86804031425701744</v>
      </c>
      <c r="C37" s="17" cm="1">
        <f t="array" ref="C37">Act_axn_k(x+$A37,MAX(0,n-$A37),Sex,MortalityTable,InterestRate,1)</f>
        <v>7.6725131567704379</v>
      </c>
      <c r="D37" s="17" cm="1">
        <f t="array" ref="D37">Act_axn_k(x+$A37,MAX(0,t-$A37),Sex,MortalityTable,InterestRate,1)</f>
        <v>0</v>
      </c>
      <c r="E37" s="16" cm="1">
        <f t="array" ref="E37">B37-P_xt*D37+gamma2*(C37-Act_axn_k(x,n,Sex,MortalityTable,InterestRate,1)/Act_axn_k(x,t,Sex,MortalityTable,InterestRate,1)*D37)</f>
        <v>0.87763095570298044</v>
      </c>
      <c r="F37" s="19">
        <f t="shared" si="0"/>
        <v>87763.095570298043</v>
      </c>
      <c r="G37" s="16">
        <f t="shared" si="1"/>
        <v>0.88722159714894355</v>
      </c>
      <c r="H37" s="19" cm="1">
        <f t="array" ref="H37">F37+alpha*t*GrossAnnualPrem*Act_axn_k(x+A37,MAX(5-A37,0),Sex,MortalityTable,InterestRate,1)/Act_axn_k(x,5,Sex,MortalityTable,InterestRate,1)</f>
        <v>87763.095570298043</v>
      </c>
      <c r="I37" s="21">
        <f t="shared" si="3"/>
        <v>0</v>
      </c>
      <c r="J37" s="19">
        <f t="shared" si="4"/>
        <v>122.36904429701957</v>
      </c>
      <c r="K37" s="19">
        <f t="shared" si="2"/>
        <v>87640.726526001017</v>
      </c>
      <c r="L37" s="19">
        <f t="shared" si="5"/>
        <v>100000</v>
      </c>
    </row>
    <row r="38" spans="1:12" x14ac:dyDescent="0.2">
      <c r="A38">
        <v>22</v>
      </c>
      <c r="B38" s="16" cm="1">
        <f t="array" ref="B38">IF(A38&lt;=n,act_nGrAx(x+$A38,MAX(0,n-$A38),Sex,MortalityTable,InterestRate)+Act_Dx(x+n,Sex,MortalityTable,InterestRate)/Act_Dx(x+$A38,Sex,MortalityTable,InterestRate),0)</f>
        <v>0.88094237503175243</v>
      </c>
      <c r="C38" s="17" cm="1">
        <f t="array" ref="C38">Act_axn_k(x+$A38,MAX(0,n-$A38),Sex,MortalityTable,InterestRate,1)</f>
        <v>6.9223504802966715</v>
      </c>
      <c r="D38" s="17" cm="1">
        <f t="array" ref="D38">Act_axn_k(x+$A38,MAX(0,t-$A38),Sex,MortalityTable,InterestRate,1)</f>
        <v>0</v>
      </c>
      <c r="E38" s="16" cm="1">
        <f t="array" ref="E38">B38-P_xt*D38+gamma2*(C38-Act_axn_k(x,n,Sex,MortalityTable,InterestRate,1)/Act_axn_k(x,t,Sex,MortalityTable,InterestRate,1)*D38)</f>
        <v>0.88959531313212326</v>
      </c>
      <c r="F38" s="19">
        <f t="shared" si="0"/>
        <v>88959.531313212326</v>
      </c>
      <c r="G38" s="16">
        <f t="shared" si="1"/>
        <v>0.89824825123249408</v>
      </c>
      <c r="H38" s="19" cm="1">
        <f t="array" ref="H38">F38+alpha*t*GrossAnnualPrem*Act_axn_k(x+A38,MAX(5-A38,0),Sex,MortalityTable,InterestRate,1)/Act_axn_k(x,5,Sex,MortalityTable,InterestRate,1)</f>
        <v>88959.531313212326</v>
      </c>
      <c r="I38" s="21">
        <f t="shared" si="3"/>
        <v>0</v>
      </c>
      <c r="J38" s="19">
        <f t="shared" si="4"/>
        <v>110.40468686787673</v>
      </c>
      <c r="K38" s="19">
        <f t="shared" si="2"/>
        <v>88849.126626344456</v>
      </c>
      <c r="L38" s="19">
        <f t="shared" si="5"/>
        <v>100000</v>
      </c>
    </row>
    <row r="39" spans="1:12" x14ac:dyDescent="0.2">
      <c r="A39">
        <v>23</v>
      </c>
      <c r="B39" s="16" cm="1">
        <f t="array" ref="B39">IF(A39&lt;=n,act_nGrAx(x+$A39,MAX(0,n-$A39),Sex,MortalityTable,InterestRate)+Act_Dx(x+n,Sex,MortalityTable,InterestRate)/Act_Dx(x+$A39,Sex,MortalityTable,InterestRate),0)</f>
        <v>0.894140474375828</v>
      </c>
      <c r="C39" s="17" cm="1">
        <f t="array" ref="C39">Act_axn_k(x+$A39,MAX(0,n-$A39),Sex,MortalityTable,InterestRate,1)</f>
        <v>6.154975275576831</v>
      </c>
      <c r="D39" s="17" cm="1">
        <f t="array" ref="D39">Act_axn_k(x+$A39,MAX(0,t-$A39),Sex,MortalityTable,InterestRate,1)</f>
        <v>0</v>
      </c>
      <c r="E39" s="16" cm="1">
        <f t="array" ref="E39">B39-P_xt*D39+gamma2*(C39-Act_axn_k(x,n,Sex,MortalityTable,InterestRate,1)/Act_axn_k(x,t,Sex,MortalityTable,InterestRate,1)*D39)</f>
        <v>0.90183419347029903</v>
      </c>
      <c r="F39" s="19">
        <f t="shared" si="0"/>
        <v>90183.419347029907</v>
      </c>
      <c r="G39" s="16">
        <f t="shared" si="1"/>
        <v>0.90952791256477006</v>
      </c>
      <c r="H39" s="19" cm="1">
        <f t="array" ref="H39">F39+alpha*t*GrossAnnualPrem*Act_axn_k(x+A39,MAX(5-A39,0),Sex,MortalityTable,InterestRate,1)/Act_axn_k(x,5,Sex,MortalityTable,InterestRate,1)</f>
        <v>90183.419347029907</v>
      </c>
      <c r="I39" s="21">
        <f t="shared" si="3"/>
        <v>0</v>
      </c>
      <c r="J39" s="19">
        <f t="shared" si="4"/>
        <v>98.16580652970093</v>
      </c>
      <c r="K39" s="19">
        <f t="shared" si="2"/>
        <v>90085.253540500213</v>
      </c>
      <c r="L39" s="19">
        <f t="shared" si="5"/>
        <v>100000</v>
      </c>
    </row>
    <row r="40" spans="1:12" x14ac:dyDescent="0.2">
      <c r="A40">
        <v>24</v>
      </c>
      <c r="B40" s="16" cm="1">
        <f t="array" ref="B40">IF(A40&lt;=n,act_nGrAx(x+$A40,MAX(0,n-$A40),Sex,MortalityTable,InterestRate)+Act_Dx(x+n,Sex,MortalityTable,InterestRate)/Act_Dx(x+$A40,Sex,MortalityTable,InterestRate),0)</f>
        <v>0.90767998988648224</v>
      </c>
      <c r="C40" s="17" cm="1">
        <f t="array" ref="C40">Act_axn_k(x+$A40,MAX(0,n-$A40),Sex,MortalityTable,InterestRate,1)</f>
        <v>5.3677491594573352</v>
      </c>
      <c r="D40" s="17" cm="1">
        <f t="array" ref="D40">Act_axn_k(x+$A40,MAX(0,t-$A40),Sex,MortalityTable,InterestRate,1)</f>
        <v>0</v>
      </c>
      <c r="E40" s="16" cm="1">
        <f t="array" ref="E40">B40-P_xt*D40+gamma2*(C40-Act_axn_k(x,n,Sex,MortalityTable,InterestRate,1)/Act_axn_k(x,t,Sex,MortalityTable,InterestRate,1)*D40)</f>
        <v>0.91438967633580392</v>
      </c>
      <c r="F40" s="19">
        <f t="shared" si="0"/>
        <v>91438.967633580396</v>
      </c>
      <c r="G40" s="16">
        <f t="shared" si="1"/>
        <v>0.92109936278512561</v>
      </c>
      <c r="H40" s="19" cm="1">
        <f t="array" ref="H40">F40+alpha*t*GrossAnnualPrem*Act_axn_k(x+A40,MAX(5-A40,0),Sex,MortalityTable,InterestRate,1)/Act_axn_k(x,5,Sex,MortalityTable,InterestRate,1)</f>
        <v>91438.967633580396</v>
      </c>
      <c r="I40" s="21">
        <f t="shared" si="3"/>
        <v>0</v>
      </c>
      <c r="J40" s="19">
        <f t="shared" si="4"/>
        <v>85.610323664196045</v>
      </c>
      <c r="K40" s="19">
        <f t="shared" si="2"/>
        <v>91353.357309916202</v>
      </c>
      <c r="L40" s="19">
        <f t="shared" si="5"/>
        <v>100000</v>
      </c>
    </row>
    <row r="41" spans="1:12" x14ac:dyDescent="0.2">
      <c r="A41">
        <v>25</v>
      </c>
      <c r="B41" s="16" cm="1">
        <f t="array" ref="B41">IF(A41&lt;=n,act_nGrAx(x+$A41,MAX(0,n-$A41),Sex,MortalityTable,InterestRate)+Act_Dx(x+n,Sex,MortalityTable,InterestRate)/Act_Dx(x+$A41,Sex,MortalityTable,InterestRate),0)</f>
        <v>0.92161591820421385</v>
      </c>
      <c r="C41" s="17" cm="1">
        <f t="array" ref="C41">Act_axn_k(x+$A41,MAX(0,n-$A41),Sex,MortalityTable,InterestRate,1)</f>
        <v>4.557474470126218</v>
      </c>
      <c r="D41" s="17" cm="1">
        <f t="array" ref="D41">Act_axn_k(x+$A41,MAX(0,t-$A41),Sex,MortalityTable,InterestRate,1)</f>
        <v>0</v>
      </c>
      <c r="E41" s="16" cm="1">
        <f t="array" ref="E41">B41-P_xt*D41+gamma2*(C41-Act_axn_k(x,n,Sex,MortalityTable,InterestRate,1)/Act_axn_k(x,t,Sex,MortalityTable,InterestRate,1)*D41)</f>
        <v>0.92731276129187157</v>
      </c>
      <c r="F41" s="19">
        <f t="shared" si="0"/>
        <v>92731.276129187157</v>
      </c>
      <c r="G41" s="16">
        <f t="shared" si="1"/>
        <v>0.9330096043795294</v>
      </c>
      <c r="H41" s="19" cm="1">
        <f t="array" ref="H41">F41+alpha*t*GrossAnnualPrem*Act_axn_k(x+A41,MAX(5-A41,0),Sex,MortalityTable,InterestRate,1)/Act_axn_k(x,5,Sex,MortalityTable,InterestRate,1)</f>
        <v>92731.276129187157</v>
      </c>
      <c r="I41" s="21">
        <f t="shared" si="3"/>
        <v>1</v>
      </c>
      <c r="J41" s="19">
        <f t="shared" si="4"/>
        <v>0</v>
      </c>
      <c r="K41" s="19">
        <f t="shared" si="2"/>
        <v>92731.276129187157</v>
      </c>
      <c r="L41" s="19">
        <f t="shared" si="5"/>
        <v>100000</v>
      </c>
    </row>
    <row r="42" spans="1:12" x14ac:dyDescent="0.2">
      <c r="A42">
        <v>26</v>
      </c>
      <c r="B42" s="16" cm="1">
        <f t="array" ref="B42">IF(A42&lt;=n,act_nGrAx(x+$A42,MAX(0,n-$A42),Sex,MortalityTable,InterestRate)+Act_Dx(x+n,Sex,MortalityTable,InterestRate)/Act_Dx(x+$A42,Sex,MortalityTable,InterestRate),0)</f>
        <v>0.936011845465061</v>
      </c>
      <c r="C42" s="17" cm="1">
        <f t="array" ref="C42">Act_axn_k(x+$A42,MAX(0,n-$A42),Sex,MortalityTable,InterestRate,1)</f>
        <v>3.7204541279596572</v>
      </c>
      <c r="D42" s="17" cm="1">
        <f t="array" ref="D42">Act_axn_k(x+$A42,MAX(0,t-$A42),Sex,MortalityTable,InterestRate,1)</f>
        <v>0</v>
      </c>
      <c r="E42" s="16" cm="1">
        <f t="array" ref="E42">B42-P_xt*D42+gamma2*(C42-Act_axn_k(x,n,Sex,MortalityTable,InterestRate,1)/Act_axn_k(x,t,Sex,MortalityTable,InterestRate,1)*D42)</f>
        <v>0.94066241312501053</v>
      </c>
      <c r="F42" s="19">
        <f t="shared" si="0"/>
        <v>94066.24131250105</v>
      </c>
      <c r="G42" s="16">
        <f t="shared" si="1"/>
        <v>0.94531298078496018</v>
      </c>
      <c r="H42" s="19" cm="1">
        <f t="array" ref="H42">F42+alpha*t*GrossAnnualPrem*Act_axn_k(x+A42,MAX(5-A42,0),Sex,MortalityTable,InterestRate,1)/Act_axn_k(x,5,Sex,MortalityTable,InterestRate,1)</f>
        <v>94066.24131250105</v>
      </c>
      <c r="I42" s="21">
        <f t="shared" si="3"/>
        <v>1</v>
      </c>
      <c r="J42" s="19">
        <f t="shared" si="4"/>
        <v>0</v>
      </c>
      <c r="K42" s="19">
        <f t="shared" si="2"/>
        <v>94066.24131250105</v>
      </c>
      <c r="L42" s="19">
        <f t="shared" si="5"/>
        <v>100000</v>
      </c>
    </row>
    <row r="43" spans="1:12" x14ac:dyDescent="0.2">
      <c r="A43">
        <v>27</v>
      </c>
      <c r="B43" s="16" cm="1">
        <f t="array" ref="B43">IF(A43&lt;=n,act_nGrAx(x+$A43,MAX(0,n-$A43),Sex,MortalityTable,InterestRate)+Act_Dx(x+n,Sex,MortalityTable,InterestRate)/Act_Dx(x+$A43,Sex,MortalityTable,InterestRate),0)</f>
        <v>0.9509422995984339</v>
      </c>
      <c r="C43" s="17" cm="1">
        <f t="array" ref="C43">Act_axn_k(x+$A43,MAX(0,n-$A43),Sex,MortalityTable,InterestRate,1)</f>
        <v>2.8523548662050255</v>
      </c>
      <c r="D43" s="17" cm="1">
        <f t="array" ref="D43">Act_axn_k(x+$A43,MAX(0,t-$A43),Sex,MortalityTable,InterestRate,1)</f>
        <v>0</v>
      </c>
      <c r="E43" s="16" cm="1">
        <f t="array" ref="E43">B43-P_xt*D43+gamma2*(C43-Act_axn_k(x,n,Sex,MortalityTable,InterestRate,1)/Act_axn_k(x,t,Sex,MortalityTable,InterestRate,1)*D43)</f>
        <v>0.95450774318119014</v>
      </c>
      <c r="F43" s="19">
        <f t="shared" si="0"/>
        <v>95450.774318119016</v>
      </c>
      <c r="G43" s="16">
        <f t="shared" si="1"/>
        <v>0.95807318676394648</v>
      </c>
      <c r="H43" s="19" cm="1">
        <f t="array" ref="H43">F43+alpha*t*GrossAnnualPrem*Act_axn_k(x+A43,MAX(5-A43,0),Sex,MortalityTable,InterestRate,1)/Act_axn_k(x,5,Sex,MortalityTable,InterestRate,1)</f>
        <v>95450.774318119016</v>
      </c>
      <c r="I43" s="21">
        <f t="shared" si="3"/>
        <v>1</v>
      </c>
      <c r="J43" s="19">
        <f t="shared" si="4"/>
        <v>0</v>
      </c>
      <c r="K43" s="19">
        <f t="shared" si="2"/>
        <v>95450.774318119016</v>
      </c>
      <c r="L43" s="19">
        <f t="shared" si="5"/>
        <v>100000</v>
      </c>
    </row>
    <row r="44" spans="1:12" x14ac:dyDescent="0.2">
      <c r="A44">
        <v>28</v>
      </c>
      <c r="B44" s="16" cm="1">
        <f t="array" ref="B44">IF(A44&lt;=n,act_nGrAx(x+$A44,MAX(0,n-$A44),Sex,MortalityTable,InterestRate)+Act_Dx(x+n,Sex,MortalityTable,InterestRate)/Act_Dx(x+$A44,Sex,MortalityTable,InterestRate),0)</f>
        <v>0.96650006700915558</v>
      </c>
      <c r="C44" s="17" cm="1">
        <f t="array" ref="C44">Act_axn_k(x+$A44,MAX(0,n-$A44),Sex,MortalityTable,InterestRate,1)</f>
        <v>1.9477818181817932</v>
      </c>
      <c r="D44" s="17" cm="1">
        <f t="array" ref="D44">Act_axn_k(x+$A44,MAX(0,t-$A44),Sex,MortalityTable,InterestRate,1)</f>
        <v>0</v>
      </c>
      <c r="E44" s="16" cm="1">
        <f t="array" ref="E44">B44-P_xt*D44+gamma2*(C44-Act_axn_k(x,n,Sex,MortalityTable,InterestRate,1)/Act_axn_k(x,t,Sex,MortalityTable,InterestRate,1)*D44)</f>
        <v>0.96893479428188278</v>
      </c>
      <c r="F44" s="19">
        <f t="shared" si="0"/>
        <v>96893.479428188279</v>
      </c>
      <c r="G44" s="16">
        <f t="shared" si="1"/>
        <v>0.97136952155461009</v>
      </c>
      <c r="H44" s="19" cm="1">
        <f t="array" ref="H44">F44+alpha*t*GrossAnnualPrem*Act_axn_k(x+A44,MAX(5-A44,0),Sex,MortalityTable,InterestRate,1)/Act_axn_k(x,5,Sex,MortalityTable,InterestRate,1)</f>
        <v>96893.479428188279</v>
      </c>
      <c r="I44" s="21">
        <f t="shared" si="3"/>
        <v>1</v>
      </c>
      <c r="J44" s="19">
        <f t="shared" si="4"/>
        <v>0</v>
      </c>
      <c r="K44" s="19">
        <f t="shared" si="2"/>
        <v>96893.479428188279</v>
      </c>
      <c r="L44" s="19">
        <f t="shared" si="5"/>
        <v>100000</v>
      </c>
    </row>
    <row r="45" spans="1:12" x14ac:dyDescent="0.2">
      <c r="A45">
        <v>29</v>
      </c>
      <c r="B45" s="16" cm="1">
        <f t="array" ref="B45">IF(A45&lt;=n,act_nGrAx(x+$A45,MAX(0,n-$A45),Sex,MortalityTable,InterestRate)+Act_Dx(x+n,Sex,MortalityTable,InterestRate)/Act_Dx(x+$A45,Sex,MortalityTable,InterestRate),0)</f>
        <v>0.98280098280098294</v>
      </c>
      <c r="C45" s="17" cm="1">
        <f t="array" ref="C45">Act_axn_k(x+$A45,MAX(0,n-$A45),Sex,MortalityTable,InterestRate,1)</f>
        <v>0.99999999999999922</v>
      </c>
      <c r="D45" s="17" cm="1">
        <f t="array" ref="D45">Act_axn_k(x+$A45,MAX(0,t-$A45),Sex,MortalityTable,InterestRate,1)</f>
        <v>0</v>
      </c>
      <c r="E45" s="16" cm="1">
        <f t="array" ref="E45">B45-P_xt*D45+gamma2*(C45-Act_axn_k(x,n,Sex,MortalityTable,InterestRate,1)/Act_axn_k(x,t,Sex,MortalityTable,InterestRate,1)*D45)</f>
        <v>0.98405098280098291</v>
      </c>
      <c r="F45" s="19">
        <f t="shared" si="0"/>
        <v>98405.098280098289</v>
      </c>
      <c r="G45" s="16">
        <f t="shared" si="1"/>
        <v>0.98530098280098288</v>
      </c>
      <c r="H45" s="19" cm="1">
        <f t="array" ref="H45">F45+alpha*t*GrossAnnualPrem*Act_axn_k(x+A45,MAX(5-A45,0),Sex,MortalityTable,InterestRate,1)/Act_axn_k(x,5,Sex,MortalityTable,InterestRate,1)</f>
        <v>98405.098280098289</v>
      </c>
      <c r="I45" s="21">
        <f t="shared" si="3"/>
        <v>1</v>
      </c>
      <c r="J45" s="19">
        <f t="shared" si="4"/>
        <v>0</v>
      </c>
      <c r="K45" s="19">
        <f t="shared" si="2"/>
        <v>98405.098280098289</v>
      </c>
      <c r="L45" s="19">
        <f t="shared" si="5"/>
        <v>100000</v>
      </c>
    </row>
    <row r="46" spans="1:12" x14ac:dyDescent="0.2">
      <c r="A46">
        <v>30</v>
      </c>
      <c r="B46" s="16" cm="1">
        <f t="array" ref="B46">IF(A46&lt;=n,act_nGrAx(x+$A46,MAX(0,n-$A46),Sex,MortalityTable,InterestRate)+Act_Dx(x+n,Sex,MortalityTable,InterestRate)/Act_Dx(x+$A46,Sex,MortalityTable,InterestRate),0)</f>
        <v>1</v>
      </c>
      <c r="C46" s="17" cm="1">
        <f t="array" ref="C46">Act_axn_k(x+$A46,MAX(0,n-$A46),Sex,MortalityTable,InterestRate,1)</f>
        <v>0</v>
      </c>
      <c r="D46" s="17" cm="1">
        <f t="array" ref="D46">Act_axn_k(x+$A46,MAX(0,t-$A46),Sex,MortalityTable,InterestRate,1)</f>
        <v>0</v>
      </c>
      <c r="E46" s="16" cm="1">
        <f t="array" ref="E46">B46-P_xt*D46+gamma2*(C46-Act_axn_k(x,n,Sex,MortalityTable,InterestRate,1)/Act_axn_k(x,t,Sex,MortalityTable,InterestRate,1)*D46)</f>
        <v>1</v>
      </c>
      <c r="F46" s="19">
        <f t="shared" si="0"/>
        <v>100000</v>
      </c>
      <c r="G46" s="16">
        <f t="shared" si="1"/>
        <v>1</v>
      </c>
      <c r="H46" s="19" cm="1">
        <f t="array" ref="H46">F46+alpha*t*GrossAnnualPrem*Act_axn_k(x+A46,MAX(5-A46,0),Sex,MortalityTable,InterestRate,1)/Act_axn_k(x,5,Sex,MortalityTable,InterestRate,1)</f>
        <v>100000</v>
      </c>
      <c r="I46" s="21">
        <f t="shared" si="3"/>
        <v>1</v>
      </c>
      <c r="J46" s="19">
        <f t="shared" si="4"/>
        <v>0</v>
      </c>
      <c r="K46" s="19">
        <f t="shared" si="2"/>
        <v>100000</v>
      </c>
      <c r="L46" s="19">
        <f t="shared" si="5"/>
        <v>100000</v>
      </c>
    </row>
    <row r="47" spans="1:12" x14ac:dyDescent="0.2">
      <c r="A47">
        <v>31</v>
      </c>
      <c r="B47" s="16" cm="1">
        <f t="array" ref="B47">IF(A47&lt;=n,act_nGrAx(x+$A47,MAX(0,n-$A47),Sex,MortalityTable,InterestRate)+Act_Dx(x+n,Sex,MortalityTable,InterestRate)/Act_Dx(x+$A47,Sex,MortalityTable,InterestRate),0)</f>
        <v>0</v>
      </c>
      <c r="C47" s="17" cm="1">
        <f t="array" ref="C47">Act_axn_k(x+$A47,MAX(0,n-$A47),Sex,MortalityTable,InterestRate,1)</f>
        <v>0</v>
      </c>
      <c r="D47" s="17" cm="1">
        <f t="array" ref="D47">Act_axn_k(x+$A47,MAX(0,t-$A47),Sex,MortalityTable,InterestRate,1)</f>
        <v>0</v>
      </c>
      <c r="E47" s="16" cm="1">
        <f t="array" ref="E47">B47-P_xt*D47+gamma2*(C47-Act_axn_k(x,n,Sex,MortalityTable,InterestRate,1)/Act_axn_k(x,t,Sex,MortalityTable,InterestRate,1)*D47)</f>
        <v>0</v>
      </c>
      <c r="F47" s="19">
        <f t="shared" si="0"/>
        <v>0</v>
      </c>
      <c r="G47" s="16">
        <f t="shared" si="1"/>
        <v>0</v>
      </c>
      <c r="H47" s="19" cm="1">
        <f t="array" ref="H47">F47+alpha*t*GrossAnnualPrem*Act_axn_k(x+A47,MAX(5-A47,0),Sex,MortalityTable,InterestRate,1)/Act_axn_k(x,5,Sex,MortalityTable,InterestRate,1)</f>
        <v>0</v>
      </c>
      <c r="I47" s="21">
        <f t="shared" si="3"/>
        <v>1</v>
      </c>
      <c r="J47" s="19">
        <f t="shared" si="4"/>
        <v>0</v>
      </c>
      <c r="K47" s="19">
        <f t="shared" si="2"/>
        <v>0</v>
      </c>
      <c r="L47" s="19">
        <f t="shared" si="5"/>
        <v>0</v>
      </c>
    </row>
    <row r="48" spans="1:12" x14ac:dyDescent="0.2">
      <c r="A48">
        <v>32</v>
      </c>
      <c r="B48" s="16" cm="1">
        <f t="array" ref="B48">IF(A48&lt;=n,act_nGrAx(x+$A48,MAX(0,n-$A48),Sex,MortalityTable,InterestRate)+Act_Dx(x+n,Sex,MortalityTable,InterestRate)/Act_Dx(x+$A48,Sex,MortalityTable,InterestRate),0)</f>
        <v>0</v>
      </c>
      <c r="C48" s="17" cm="1">
        <f t="array" ref="C48">Act_axn_k(x+$A48,MAX(0,n-$A48),Sex,MortalityTable,InterestRate,1)</f>
        <v>0</v>
      </c>
      <c r="D48" s="17" cm="1">
        <f t="array" ref="D48">Act_axn_k(x+$A48,MAX(0,t-$A48),Sex,MortalityTable,InterestRate,1)</f>
        <v>0</v>
      </c>
      <c r="E48" s="16" cm="1">
        <f t="array" ref="E48">B48-P_xt*D48+gamma2*(C48-Act_axn_k(x,n,Sex,MortalityTable,InterestRate,1)/Act_axn_k(x,t,Sex,MortalityTable,InterestRate,1)*D48)</f>
        <v>0</v>
      </c>
      <c r="F48" s="19">
        <f t="shared" ref="F48:F66" si="6">SumInsured*E48</f>
        <v>0</v>
      </c>
      <c r="G48" s="16">
        <f t="shared" ref="G48:G66" si="7">B48+gamma3*C48</f>
        <v>0</v>
      </c>
      <c r="H48" s="19" cm="1">
        <f t="array" ref="H48">F48+alpha*t*GrossAnnualPrem*Act_axn_k(x+A48,MAX(5-A48,0),Sex,MortalityTable,InterestRate,1)/Act_axn_k(x,5,Sex,MortalityTable,InterestRate,1)</f>
        <v>0</v>
      </c>
      <c r="I48" s="21">
        <f t="shared" ref="I48:I66" si="8">IF(AND(x+A48&gt;=MinAgeFlex,A48&gt;=n-MinTermFlex),1,0)</f>
        <v>1</v>
      </c>
      <c r="J48" s="19">
        <f t="shared" ref="J48:J66" si="9">IF(OR(A48&gt;n,I48),0,MIN(150,MAX(50,1%*(SumInsured-F48))))</f>
        <v>0</v>
      </c>
      <c r="K48" s="19">
        <f t="shared" ref="K48:K66" si="10">MAX(0,H48-J48)</f>
        <v>0</v>
      </c>
      <c r="L48" s="19">
        <f t="shared" ref="L48:L66" si="11">IFERROR(IF(A48&gt;n,0,IF(A48&lt;t,H48/G48,SumInsured)),0)</f>
        <v>0</v>
      </c>
    </row>
    <row r="49" spans="1:12" x14ac:dyDescent="0.2">
      <c r="A49">
        <v>33</v>
      </c>
      <c r="B49" s="16" cm="1">
        <f t="array" ref="B49">IF(A49&lt;=n,act_nGrAx(x+$A49,MAX(0,n-$A49),Sex,MortalityTable,InterestRate)+Act_Dx(x+n,Sex,MortalityTable,InterestRate)/Act_Dx(x+$A49,Sex,MortalityTable,InterestRate),0)</f>
        <v>0</v>
      </c>
      <c r="C49" s="17" cm="1">
        <f t="array" ref="C49">Act_axn_k(x+$A49,MAX(0,n-$A49),Sex,MortalityTable,InterestRate,1)</f>
        <v>0</v>
      </c>
      <c r="D49" s="17" cm="1">
        <f t="array" ref="D49">Act_axn_k(x+$A49,MAX(0,t-$A49),Sex,MortalityTable,InterestRate,1)</f>
        <v>0</v>
      </c>
      <c r="E49" s="16" cm="1">
        <f t="array" ref="E49">B49-P_xt*D49+gamma2*(C49-Act_axn_k(x,n,Sex,MortalityTable,InterestRate,1)/Act_axn_k(x,t,Sex,MortalityTable,InterestRate,1)*D49)</f>
        <v>0</v>
      </c>
      <c r="F49" s="19">
        <f t="shared" si="6"/>
        <v>0</v>
      </c>
      <c r="G49" s="16">
        <f t="shared" si="7"/>
        <v>0</v>
      </c>
      <c r="H49" s="19" cm="1">
        <f t="array" ref="H49">F49+alpha*t*GrossAnnualPrem*Act_axn_k(x+A49,MAX(5-A49,0),Sex,MortalityTable,InterestRate,1)/Act_axn_k(x,5,Sex,MortalityTable,InterestRate,1)</f>
        <v>0</v>
      </c>
      <c r="I49" s="21">
        <f t="shared" si="8"/>
        <v>1</v>
      </c>
      <c r="J49" s="19">
        <f t="shared" si="9"/>
        <v>0</v>
      </c>
      <c r="K49" s="19">
        <f t="shared" si="10"/>
        <v>0</v>
      </c>
      <c r="L49" s="19">
        <f t="shared" si="11"/>
        <v>0</v>
      </c>
    </row>
    <row r="50" spans="1:12" x14ac:dyDescent="0.2">
      <c r="A50">
        <v>34</v>
      </c>
      <c r="B50" s="16" cm="1">
        <f t="array" ref="B50">IF(A50&lt;=n,act_nGrAx(x+$A50,MAX(0,n-$A50),Sex,MortalityTable,InterestRate)+Act_Dx(x+n,Sex,MortalityTable,InterestRate)/Act_Dx(x+$A50,Sex,MortalityTable,InterestRate),0)</f>
        <v>0</v>
      </c>
      <c r="C50" s="17" cm="1">
        <f t="array" ref="C50">Act_axn_k(x+$A50,MAX(0,n-$A50),Sex,MortalityTable,InterestRate,1)</f>
        <v>0</v>
      </c>
      <c r="D50" s="17" cm="1">
        <f t="array" ref="D50">Act_axn_k(x+$A50,MAX(0,t-$A50),Sex,MortalityTable,InterestRate,1)</f>
        <v>0</v>
      </c>
      <c r="E50" s="16" cm="1">
        <f t="array" ref="E50">B50-P_xt*D50+gamma2*(C50-Act_axn_k(x,n,Sex,MortalityTable,InterestRate,1)/Act_axn_k(x,t,Sex,MortalityTable,InterestRate,1)*D50)</f>
        <v>0</v>
      </c>
      <c r="F50" s="19">
        <f t="shared" si="6"/>
        <v>0</v>
      </c>
      <c r="G50" s="16">
        <f t="shared" si="7"/>
        <v>0</v>
      </c>
      <c r="H50" s="19" cm="1">
        <f t="array" ref="H50">F50+alpha*t*GrossAnnualPrem*Act_axn_k(x+A50,MAX(5-A50,0),Sex,MortalityTable,InterestRate,1)/Act_axn_k(x,5,Sex,MortalityTable,InterestRate,1)</f>
        <v>0</v>
      </c>
      <c r="I50" s="21">
        <f t="shared" si="8"/>
        <v>1</v>
      </c>
      <c r="J50" s="19">
        <f t="shared" si="9"/>
        <v>0</v>
      </c>
      <c r="K50" s="19">
        <f t="shared" si="10"/>
        <v>0</v>
      </c>
      <c r="L50" s="19">
        <f t="shared" si="11"/>
        <v>0</v>
      </c>
    </row>
    <row r="51" spans="1:12" x14ac:dyDescent="0.2">
      <c r="A51">
        <v>35</v>
      </c>
      <c r="B51" s="16" cm="1">
        <f t="array" ref="B51">IF(A51&lt;=n,act_nGrAx(x+$A51,MAX(0,n-$A51),Sex,MortalityTable,InterestRate)+Act_Dx(x+n,Sex,MortalityTable,InterestRate)/Act_Dx(x+$A51,Sex,MortalityTable,InterestRate),0)</f>
        <v>0</v>
      </c>
      <c r="C51" s="17" cm="1">
        <f t="array" ref="C51">Act_axn_k(x+$A51,MAX(0,n-$A51),Sex,MortalityTable,InterestRate,1)</f>
        <v>0</v>
      </c>
      <c r="D51" s="17" cm="1">
        <f t="array" ref="D51">Act_axn_k(x+$A51,MAX(0,t-$A51),Sex,MortalityTable,InterestRate,1)</f>
        <v>0</v>
      </c>
      <c r="E51" s="16" cm="1">
        <f t="array" ref="E51">B51-P_xt*D51+gamma2*(C51-Act_axn_k(x,n,Sex,MortalityTable,InterestRate,1)/Act_axn_k(x,t,Sex,MortalityTable,InterestRate,1)*D51)</f>
        <v>0</v>
      </c>
      <c r="F51" s="19">
        <f t="shared" si="6"/>
        <v>0</v>
      </c>
      <c r="G51" s="16">
        <f t="shared" si="7"/>
        <v>0</v>
      </c>
      <c r="H51" s="19" cm="1">
        <f t="array" ref="H51">F51+alpha*t*GrossAnnualPrem*Act_axn_k(x+A51,MAX(5-A51,0),Sex,MortalityTable,InterestRate,1)/Act_axn_k(x,5,Sex,MortalityTable,InterestRate,1)</f>
        <v>0</v>
      </c>
      <c r="I51" s="21">
        <f t="shared" si="8"/>
        <v>1</v>
      </c>
      <c r="J51" s="19">
        <f t="shared" si="9"/>
        <v>0</v>
      </c>
      <c r="K51" s="19">
        <f t="shared" si="10"/>
        <v>0</v>
      </c>
      <c r="L51" s="19">
        <f t="shared" si="11"/>
        <v>0</v>
      </c>
    </row>
    <row r="52" spans="1:12" x14ac:dyDescent="0.2">
      <c r="A52">
        <v>36</v>
      </c>
      <c r="B52" s="16" cm="1">
        <f t="array" ref="B52">IF(A52&lt;=n,act_nGrAx(x+$A52,MAX(0,n-$A52),Sex,MortalityTable,InterestRate)+Act_Dx(x+n,Sex,MortalityTable,InterestRate)/Act_Dx(x+$A52,Sex,MortalityTable,InterestRate),0)</f>
        <v>0</v>
      </c>
      <c r="C52" s="17" cm="1">
        <f t="array" ref="C52">Act_axn_k(x+$A52,MAX(0,n-$A52),Sex,MortalityTable,InterestRate,1)</f>
        <v>0</v>
      </c>
      <c r="D52" s="17" cm="1">
        <f t="array" ref="D52">Act_axn_k(x+$A52,MAX(0,t-$A52),Sex,MortalityTable,InterestRate,1)</f>
        <v>0</v>
      </c>
      <c r="E52" s="16" cm="1">
        <f t="array" ref="E52">B52-P_xt*D52+gamma2*(C52-Act_axn_k(x,n,Sex,MortalityTable,InterestRate,1)/Act_axn_k(x,t,Sex,MortalityTable,InterestRate,1)*D52)</f>
        <v>0</v>
      </c>
      <c r="F52" s="19">
        <f t="shared" si="6"/>
        <v>0</v>
      </c>
      <c r="G52" s="16">
        <f t="shared" si="7"/>
        <v>0</v>
      </c>
      <c r="H52" s="19" cm="1">
        <f t="array" ref="H52">F52+alpha*t*GrossAnnualPrem*Act_axn_k(x+A52,MAX(5-A52,0),Sex,MortalityTable,InterestRate,1)/Act_axn_k(x,5,Sex,MortalityTable,InterestRate,1)</f>
        <v>0</v>
      </c>
      <c r="I52" s="21">
        <f t="shared" si="8"/>
        <v>1</v>
      </c>
      <c r="J52" s="19">
        <f t="shared" si="9"/>
        <v>0</v>
      </c>
      <c r="K52" s="19">
        <f t="shared" si="10"/>
        <v>0</v>
      </c>
      <c r="L52" s="19">
        <f t="shared" si="11"/>
        <v>0</v>
      </c>
    </row>
    <row r="53" spans="1:12" x14ac:dyDescent="0.2">
      <c r="A53">
        <v>37</v>
      </c>
      <c r="B53" s="16" cm="1">
        <f t="array" ref="B53">IF(A53&lt;=n,act_nGrAx(x+$A53,MAX(0,n-$A53),Sex,MortalityTable,InterestRate)+Act_Dx(x+n,Sex,MortalityTable,InterestRate)/Act_Dx(x+$A53,Sex,MortalityTable,InterestRate),0)</f>
        <v>0</v>
      </c>
      <c r="C53" s="17" cm="1">
        <f t="array" ref="C53">Act_axn_k(x+$A53,MAX(0,n-$A53),Sex,MortalityTable,InterestRate,1)</f>
        <v>0</v>
      </c>
      <c r="D53" s="17" cm="1">
        <f t="array" ref="D53">Act_axn_k(x+$A53,MAX(0,t-$A53),Sex,MortalityTable,InterestRate,1)</f>
        <v>0</v>
      </c>
      <c r="E53" s="16" cm="1">
        <f t="array" ref="E53">B53-P_xt*D53+gamma2*(C53-Act_axn_k(x,n,Sex,MortalityTable,InterestRate,1)/Act_axn_k(x,t,Sex,MortalityTable,InterestRate,1)*D53)</f>
        <v>0</v>
      </c>
      <c r="F53" s="19">
        <f t="shared" si="6"/>
        <v>0</v>
      </c>
      <c r="G53" s="16">
        <f t="shared" si="7"/>
        <v>0</v>
      </c>
      <c r="H53" s="19" cm="1">
        <f t="array" ref="H53">F53+alpha*t*GrossAnnualPrem*Act_axn_k(x+A53,MAX(5-A53,0),Sex,MortalityTable,InterestRate,1)/Act_axn_k(x,5,Sex,MortalityTable,InterestRate,1)</f>
        <v>0</v>
      </c>
      <c r="I53" s="21">
        <f t="shared" si="8"/>
        <v>1</v>
      </c>
      <c r="J53" s="19">
        <f t="shared" si="9"/>
        <v>0</v>
      </c>
      <c r="K53" s="19">
        <f t="shared" si="10"/>
        <v>0</v>
      </c>
      <c r="L53" s="19">
        <f t="shared" si="11"/>
        <v>0</v>
      </c>
    </row>
    <row r="54" spans="1:12" x14ac:dyDescent="0.2">
      <c r="A54">
        <v>38</v>
      </c>
      <c r="B54" s="16" cm="1">
        <f t="array" ref="B54">IF(A54&lt;=n,act_nGrAx(x+$A54,MAX(0,n-$A54),Sex,MortalityTable,InterestRate)+Act_Dx(x+n,Sex,MortalityTable,InterestRate)/Act_Dx(x+$A54,Sex,MortalityTable,InterestRate),0)</f>
        <v>0</v>
      </c>
      <c r="C54" s="17" cm="1">
        <f t="array" ref="C54">Act_axn_k(x+$A54,MAX(0,n-$A54),Sex,MortalityTable,InterestRate,1)</f>
        <v>0</v>
      </c>
      <c r="D54" s="17" cm="1">
        <f t="array" ref="D54">Act_axn_k(x+$A54,MAX(0,t-$A54),Sex,MortalityTable,InterestRate,1)</f>
        <v>0</v>
      </c>
      <c r="E54" s="16" cm="1">
        <f t="array" ref="E54">B54-P_xt*D54+gamma2*(C54-Act_axn_k(x,n,Sex,MortalityTable,InterestRate,1)/Act_axn_k(x,t,Sex,MortalityTable,InterestRate,1)*D54)</f>
        <v>0</v>
      </c>
      <c r="F54" s="19">
        <f t="shared" si="6"/>
        <v>0</v>
      </c>
      <c r="G54" s="16">
        <f t="shared" si="7"/>
        <v>0</v>
      </c>
      <c r="H54" s="19" cm="1">
        <f t="array" ref="H54">F54+alpha*t*GrossAnnualPrem*Act_axn_k(x+A54,MAX(5-A54,0),Sex,MortalityTable,InterestRate,1)/Act_axn_k(x,5,Sex,MortalityTable,InterestRate,1)</f>
        <v>0</v>
      </c>
      <c r="I54" s="21">
        <f t="shared" si="8"/>
        <v>1</v>
      </c>
      <c r="J54" s="19">
        <f t="shared" si="9"/>
        <v>0</v>
      </c>
      <c r="K54" s="19">
        <f t="shared" si="10"/>
        <v>0</v>
      </c>
      <c r="L54" s="19">
        <f t="shared" si="11"/>
        <v>0</v>
      </c>
    </row>
    <row r="55" spans="1:12" x14ac:dyDescent="0.2">
      <c r="A55">
        <v>39</v>
      </c>
      <c r="B55" s="16" cm="1">
        <f t="array" ref="B55">IF(A55&lt;=n,act_nGrAx(x+$A55,MAX(0,n-$A55),Sex,MortalityTable,InterestRate)+Act_Dx(x+n,Sex,MortalityTable,InterestRate)/Act_Dx(x+$A55,Sex,MortalityTable,InterestRate),0)</f>
        <v>0</v>
      </c>
      <c r="C55" s="17" cm="1">
        <f t="array" ref="C55">Act_axn_k(x+$A55,MAX(0,n-$A55),Sex,MortalityTable,InterestRate,1)</f>
        <v>0</v>
      </c>
      <c r="D55" s="17" cm="1">
        <f t="array" ref="D55">Act_axn_k(x+$A55,MAX(0,t-$A55),Sex,MortalityTable,InterestRate,1)</f>
        <v>0</v>
      </c>
      <c r="E55" s="16" cm="1">
        <f t="array" ref="E55">B55-P_xt*D55+gamma2*(C55-Act_axn_k(x,n,Sex,MortalityTable,InterestRate,1)/Act_axn_k(x,t,Sex,MortalityTable,InterestRate,1)*D55)</f>
        <v>0</v>
      </c>
      <c r="F55" s="19">
        <f t="shared" si="6"/>
        <v>0</v>
      </c>
      <c r="G55" s="16">
        <f t="shared" si="7"/>
        <v>0</v>
      </c>
      <c r="H55" s="19" cm="1">
        <f t="array" ref="H55">F55+alpha*t*GrossAnnualPrem*Act_axn_k(x+A55,MAX(5-A55,0),Sex,MortalityTable,InterestRate,1)/Act_axn_k(x,5,Sex,MortalityTable,InterestRate,1)</f>
        <v>0</v>
      </c>
      <c r="I55" s="21">
        <f t="shared" si="8"/>
        <v>1</v>
      </c>
      <c r="J55" s="19">
        <f t="shared" si="9"/>
        <v>0</v>
      </c>
      <c r="K55" s="19">
        <f t="shared" si="10"/>
        <v>0</v>
      </c>
      <c r="L55" s="19">
        <f t="shared" si="11"/>
        <v>0</v>
      </c>
    </row>
    <row r="56" spans="1:12" x14ac:dyDescent="0.2">
      <c r="A56">
        <v>40</v>
      </c>
      <c r="B56" s="16" cm="1">
        <f t="array" ref="B56">IF(A56&lt;=n,act_nGrAx(x+$A56,MAX(0,n-$A56),Sex,MortalityTable,InterestRate)+Act_Dx(x+n,Sex,MortalityTable,InterestRate)/Act_Dx(x+$A56,Sex,MortalityTable,InterestRate),0)</f>
        <v>0</v>
      </c>
      <c r="C56" s="17" cm="1">
        <f t="array" ref="C56">Act_axn_k(x+$A56,MAX(0,n-$A56),Sex,MortalityTable,InterestRate,1)</f>
        <v>0</v>
      </c>
      <c r="D56" s="17" cm="1">
        <f t="array" ref="D56">Act_axn_k(x+$A56,MAX(0,t-$A56),Sex,MortalityTable,InterestRate,1)</f>
        <v>0</v>
      </c>
      <c r="E56" s="16" cm="1">
        <f t="array" ref="E56">B56-P_xt*D56+gamma2*(C56-Act_axn_k(x,n,Sex,MortalityTable,InterestRate,1)/Act_axn_k(x,t,Sex,MortalityTable,InterestRate,1)*D56)</f>
        <v>0</v>
      </c>
      <c r="F56" s="19">
        <f t="shared" si="6"/>
        <v>0</v>
      </c>
      <c r="G56" s="16">
        <f t="shared" si="7"/>
        <v>0</v>
      </c>
      <c r="H56" s="19" cm="1">
        <f t="array" ref="H56">F56+alpha*t*GrossAnnualPrem*Act_axn_k(x+A56,MAX(5-A56,0),Sex,MortalityTable,InterestRate,1)/Act_axn_k(x,5,Sex,MortalityTable,InterestRate,1)</f>
        <v>0</v>
      </c>
      <c r="I56" s="21">
        <f t="shared" si="8"/>
        <v>1</v>
      </c>
      <c r="J56" s="19">
        <f t="shared" si="9"/>
        <v>0</v>
      </c>
      <c r="K56" s="19">
        <f t="shared" si="10"/>
        <v>0</v>
      </c>
      <c r="L56" s="19">
        <f t="shared" si="11"/>
        <v>0</v>
      </c>
    </row>
    <row r="57" spans="1:12" x14ac:dyDescent="0.2">
      <c r="A57">
        <v>41</v>
      </c>
      <c r="B57" s="16" cm="1">
        <f t="array" ref="B57">IF(A57&lt;=n,act_nGrAx(x+$A57,MAX(0,n-$A57),Sex,MortalityTable,InterestRate)+Act_Dx(x+n,Sex,MortalityTable,InterestRate)/Act_Dx(x+$A57,Sex,MortalityTable,InterestRate),0)</f>
        <v>0</v>
      </c>
      <c r="C57" s="17" cm="1">
        <f t="array" ref="C57">Act_axn_k(x+$A57,MAX(0,n-$A57),Sex,MortalityTable,InterestRate,1)</f>
        <v>0</v>
      </c>
      <c r="D57" s="17" cm="1">
        <f t="array" ref="D57">Act_axn_k(x+$A57,MAX(0,t-$A57),Sex,MortalityTable,InterestRate,1)</f>
        <v>0</v>
      </c>
      <c r="E57" s="16" cm="1">
        <f t="array" ref="E57">B57-P_xt*D57+gamma2*(C57-Act_axn_k(x,n,Sex,MortalityTable,InterestRate,1)/Act_axn_k(x,t,Sex,MortalityTable,InterestRate,1)*D57)</f>
        <v>0</v>
      </c>
      <c r="F57" s="19">
        <f t="shared" si="6"/>
        <v>0</v>
      </c>
      <c r="G57" s="16">
        <f t="shared" si="7"/>
        <v>0</v>
      </c>
      <c r="H57" s="19" cm="1">
        <f t="array" ref="H57">F57+alpha*t*GrossAnnualPrem*Act_axn_k(x+A57,MAX(5-A57,0),Sex,MortalityTable,InterestRate,1)/Act_axn_k(x,5,Sex,MortalityTable,InterestRate,1)</f>
        <v>0</v>
      </c>
      <c r="I57" s="21">
        <f t="shared" si="8"/>
        <v>1</v>
      </c>
      <c r="J57" s="19">
        <f t="shared" si="9"/>
        <v>0</v>
      </c>
      <c r="K57" s="19">
        <f t="shared" si="10"/>
        <v>0</v>
      </c>
      <c r="L57" s="19">
        <f t="shared" si="11"/>
        <v>0</v>
      </c>
    </row>
    <row r="58" spans="1:12" x14ac:dyDescent="0.2">
      <c r="A58">
        <v>42</v>
      </c>
      <c r="B58" s="16" cm="1">
        <f t="array" ref="B58">IF(A58&lt;=n,act_nGrAx(x+$A58,MAX(0,n-$A58),Sex,MortalityTable,InterestRate)+Act_Dx(x+n,Sex,MortalityTable,InterestRate)/Act_Dx(x+$A58,Sex,MortalityTable,InterestRate),0)</f>
        <v>0</v>
      </c>
      <c r="C58" s="17" cm="1">
        <f t="array" ref="C58">Act_axn_k(x+$A58,MAX(0,n-$A58),Sex,MortalityTable,InterestRate,1)</f>
        <v>0</v>
      </c>
      <c r="D58" s="17" cm="1">
        <f t="array" ref="D58">Act_axn_k(x+$A58,MAX(0,t-$A58),Sex,MortalityTable,InterestRate,1)</f>
        <v>0</v>
      </c>
      <c r="E58" s="16" cm="1">
        <f t="array" ref="E58">B58-P_xt*D58+gamma2*(C58-Act_axn_k(x,n,Sex,MortalityTable,InterestRate,1)/Act_axn_k(x,t,Sex,MortalityTable,InterestRate,1)*D58)</f>
        <v>0</v>
      </c>
      <c r="F58" s="19">
        <f t="shared" si="6"/>
        <v>0</v>
      </c>
      <c r="G58" s="16">
        <f t="shared" si="7"/>
        <v>0</v>
      </c>
      <c r="H58" s="19" cm="1">
        <f t="array" ref="H58">F58+alpha*t*GrossAnnualPrem*Act_axn_k(x+A58,MAX(5-A58,0),Sex,MortalityTable,InterestRate,1)/Act_axn_k(x,5,Sex,MortalityTable,InterestRate,1)</f>
        <v>0</v>
      </c>
      <c r="I58" s="21">
        <f t="shared" si="8"/>
        <v>1</v>
      </c>
      <c r="J58" s="19">
        <f t="shared" si="9"/>
        <v>0</v>
      </c>
      <c r="K58" s="19">
        <f t="shared" si="10"/>
        <v>0</v>
      </c>
      <c r="L58" s="19">
        <f t="shared" si="11"/>
        <v>0</v>
      </c>
    </row>
    <row r="59" spans="1:12" x14ac:dyDescent="0.2">
      <c r="A59">
        <v>43</v>
      </c>
      <c r="B59" s="16" cm="1">
        <f t="array" ref="B59">IF(A59&lt;=n,act_nGrAx(x+$A59,MAX(0,n-$A59),Sex,MortalityTable,InterestRate)+Act_Dx(x+n,Sex,MortalityTable,InterestRate)/Act_Dx(x+$A59,Sex,MortalityTable,InterestRate),0)</f>
        <v>0</v>
      </c>
      <c r="C59" s="17" cm="1">
        <f t="array" ref="C59">Act_axn_k(x+$A59,MAX(0,n-$A59),Sex,MortalityTable,InterestRate,1)</f>
        <v>0</v>
      </c>
      <c r="D59" s="17" cm="1">
        <f t="array" ref="D59">Act_axn_k(x+$A59,MAX(0,t-$A59),Sex,MortalityTable,InterestRate,1)</f>
        <v>0</v>
      </c>
      <c r="E59" s="16" cm="1">
        <f t="array" ref="E59">B59-P_xt*D59+gamma2*(C59-Act_axn_k(x,n,Sex,MortalityTable,InterestRate,1)/Act_axn_k(x,t,Sex,MortalityTable,InterestRate,1)*D59)</f>
        <v>0</v>
      </c>
      <c r="F59" s="19">
        <f t="shared" si="6"/>
        <v>0</v>
      </c>
      <c r="G59" s="16">
        <f t="shared" si="7"/>
        <v>0</v>
      </c>
      <c r="H59" s="19" cm="1">
        <f t="array" ref="H59">F59+alpha*t*GrossAnnualPrem*Act_axn_k(x+A59,MAX(5-A59,0),Sex,MortalityTable,InterestRate,1)/Act_axn_k(x,5,Sex,MortalityTable,InterestRate,1)</f>
        <v>0</v>
      </c>
      <c r="I59" s="21">
        <f t="shared" si="8"/>
        <v>1</v>
      </c>
      <c r="J59" s="19">
        <f t="shared" si="9"/>
        <v>0</v>
      </c>
      <c r="K59" s="19">
        <f t="shared" si="10"/>
        <v>0</v>
      </c>
      <c r="L59" s="19">
        <f t="shared" si="11"/>
        <v>0</v>
      </c>
    </row>
    <row r="60" spans="1:12" x14ac:dyDescent="0.2">
      <c r="A60">
        <v>44</v>
      </c>
      <c r="B60" s="16" cm="1">
        <f t="array" ref="B60">IF(A60&lt;=n,act_nGrAx(x+$A60,MAX(0,n-$A60),Sex,MortalityTable,InterestRate)+Act_Dx(x+n,Sex,MortalityTable,InterestRate)/Act_Dx(x+$A60,Sex,MortalityTable,InterestRate),0)</f>
        <v>0</v>
      </c>
      <c r="C60" s="17" cm="1">
        <f t="array" ref="C60">Act_axn_k(x+$A60,MAX(0,n-$A60),Sex,MortalityTable,InterestRate,1)</f>
        <v>0</v>
      </c>
      <c r="D60" s="17" cm="1">
        <f t="array" ref="D60">Act_axn_k(x+$A60,MAX(0,t-$A60),Sex,MortalityTable,InterestRate,1)</f>
        <v>0</v>
      </c>
      <c r="E60" s="16" cm="1">
        <f t="array" ref="E60">B60-P_xt*D60+gamma2*(C60-Act_axn_k(x,n,Sex,MortalityTable,InterestRate,1)/Act_axn_k(x,t,Sex,MortalityTable,InterestRate,1)*D60)</f>
        <v>0</v>
      </c>
      <c r="F60" s="19">
        <f t="shared" si="6"/>
        <v>0</v>
      </c>
      <c r="G60" s="16">
        <f t="shared" si="7"/>
        <v>0</v>
      </c>
      <c r="H60" s="19" cm="1">
        <f t="array" ref="H60">F60+alpha*t*GrossAnnualPrem*Act_axn_k(x+A60,MAX(5-A60,0),Sex,MortalityTable,InterestRate,1)/Act_axn_k(x,5,Sex,MortalityTable,InterestRate,1)</f>
        <v>0</v>
      </c>
      <c r="I60" s="21">
        <f t="shared" si="8"/>
        <v>1</v>
      </c>
      <c r="J60" s="19">
        <f t="shared" si="9"/>
        <v>0</v>
      </c>
      <c r="K60" s="19">
        <f t="shared" si="10"/>
        <v>0</v>
      </c>
      <c r="L60" s="19">
        <f t="shared" si="11"/>
        <v>0</v>
      </c>
    </row>
    <row r="61" spans="1:12" x14ac:dyDescent="0.2">
      <c r="A61">
        <v>45</v>
      </c>
      <c r="B61" s="16" cm="1">
        <f t="array" ref="B61">IF(A61&lt;=n,act_nGrAx(x+$A61,MAX(0,n-$A61),Sex,MortalityTable,InterestRate)+Act_Dx(x+n,Sex,MortalityTable,InterestRate)/Act_Dx(x+$A61,Sex,MortalityTable,InterestRate),0)</f>
        <v>0</v>
      </c>
      <c r="C61" s="17" cm="1">
        <f t="array" ref="C61">Act_axn_k(x+$A61,MAX(0,n-$A61),Sex,MortalityTable,InterestRate,1)</f>
        <v>0</v>
      </c>
      <c r="D61" s="17" cm="1">
        <f t="array" ref="D61">Act_axn_k(x+$A61,MAX(0,t-$A61),Sex,MortalityTable,InterestRate,1)</f>
        <v>0</v>
      </c>
      <c r="E61" s="16" cm="1">
        <f t="array" ref="E61">B61-P_xt*D61+gamma2*(C61-Act_axn_k(x,n,Sex,MortalityTable,InterestRate,1)/Act_axn_k(x,t,Sex,MortalityTable,InterestRate,1)*D61)</f>
        <v>0</v>
      </c>
      <c r="F61" s="19">
        <f t="shared" si="6"/>
        <v>0</v>
      </c>
      <c r="G61" s="16">
        <f t="shared" si="7"/>
        <v>0</v>
      </c>
      <c r="H61" s="19" cm="1">
        <f t="array" ref="H61">F61+alpha*t*GrossAnnualPrem*Act_axn_k(x+A61,MAX(5-A61,0),Sex,MortalityTable,InterestRate,1)/Act_axn_k(x,5,Sex,MortalityTable,InterestRate,1)</f>
        <v>0</v>
      </c>
      <c r="I61" s="21">
        <f t="shared" si="8"/>
        <v>1</v>
      </c>
      <c r="J61" s="19">
        <f t="shared" si="9"/>
        <v>0</v>
      </c>
      <c r="K61" s="19">
        <f t="shared" si="10"/>
        <v>0</v>
      </c>
      <c r="L61" s="19">
        <f t="shared" si="11"/>
        <v>0</v>
      </c>
    </row>
    <row r="62" spans="1:12" x14ac:dyDescent="0.2">
      <c r="A62">
        <v>46</v>
      </c>
      <c r="B62" s="16" cm="1">
        <f t="array" ref="B62">IF(A62&lt;=n,act_nGrAx(x+$A62,MAX(0,n-$A62),Sex,MortalityTable,InterestRate)+Act_Dx(x+n,Sex,MortalityTable,InterestRate)/Act_Dx(x+$A62,Sex,MortalityTable,InterestRate),0)</f>
        <v>0</v>
      </c>
      <c r="C62" s="17" cm="1">
        <f t="array" ref="C62">Act_axn_k(x+$A62,MAX(0,n-$A62),Sex,MortalityTable,InterestRate,1)</f>
        <v>0</v>
      </c>
      <c r="D62" s="17" cm="1">
        <f t="array" ref="D62">Act_axn_k(x+$A62,MAX(0,t-$A62),Sex,MortalityTable,InterestRate,1)</f>
        <v>0</v>
      </c>
      <c r="E62" s="16" cm="1">
        <f t="array" ref="E62">B62-P_xt*D62+gamma2*(C62-Act_axn_k(x,n,Sex,MortalityTable,InterestRate,1)/Act_axn_k(x,t,Sex,MortalityTable,InterestRate,1)*D62)</f>
        <v>0</v>
      </c>
      <c r="F62" s="19">
        <f t="shared" si="6"/>
        <v>0</v>
      </c>
      <c r="G62" s="16">
        <f t="shared" si="7"/>
        <v>0</v>
      </c>
      <c r="H62" s="19" cm="1">
        <f t="array" ref="H62">F62+alpha*t*GrossAnnualPrem*Act_axn_k(x+A62,MAX(5-A62,0),Sex,MortalityTable,InterestRate,1)/Act_axn_k(x,5,Sex,MortalityTable,InterestRate,1)</f>
        <v>0</v>
      </c>
      <c r="I62" s="21">
        <f t="shared" si="8"/>
        <v>1</v>
      </c>
      <c r="J62" s="19">
        <f t="shared" si="9"/>
        <v>0</v>
      </c>
      <c r="K62" s="19">
        <f t="shared" si="10"/>
        <v>0</v>
      </c>
      <c r="L62" s="19">
        <f t="shared" si="11"/>
        <v>0</v>
      </c>
    </row>
    <row r="63" spans="1:12" x14ac:dyDescent="0.2">
      <c r="A63">
        <v>47</v>
      </c>
      <c r="B63" s="16" cm="1">
        <f t="array" ref="B63">IF(A63&lt;=n,act_nGrAx(x+$A63,MAX(0,n-$A63),Sex,MortalityTable,InterestRate)+Act_Dx(x+n,Sex,MortalityTable,InterestRate)/Act_Dx(x+$A63,Sex,MortalityTable,InterestRate),0)</f>
        <v>0</v>
      </c>
      <c r="C63" s="17" cm="1">
        <f t="array" ref="C63">Act_axn_k(x+$A63,MAX(0,n-$A63),Sex,MortalityTable,InterestRate,1)</f>
        <v>0</v>
      </c>
      <c r="D63" s="17" cm="1">
        <f t="array" ref="D63">Act_axn_k(x+$A63,MAX(0,t-$A63),Sex,MortalityTable,InterestRate,1)</f>
        <v>0</v>
      </c>
      <c r="E63" s="16" cm="1">
        <f t="array" ref="E63">B63-P_xt*D63+gamma2*(C63-Act_axn_k(x,n,Sex,MortalityTable,InterestRate,1)/Act_axn_k(x,t,Sex,MortalityTable,InterestRate,1)*D63)</f>
        <v>0</v>
      </c>
      <c r="F63" s="19">
        <f t="shared" si="6"/>
        <v>0</v>
      </c>
      <c r="G63" s="16">
        <f t="shared" si="7"/>
        <v>0</v>
      </c>
      <c r="H63" s="19" cm="1">
        <f t="array" ref="H63">F63+alpha*t*GrossAnnualPrem*Act_axn_k(x+A63,MAX(5-A63,0),Sex,MortalityTable,InterestRate,1)/Act_axn_k(x,5,Sex,MortalityTable,InterestRate,1)</f>
        <v>0</v>
      </c>
      <c r="I63" s="21">
        <f t="shared" si="8"/>
        <v>1</v>
      </c>
      <c r="J63" s="19">
        <f t="shared" si="9"/>
        <v>0</v>
      </c>
      <c r="K63" s="19">
        <f t="shared" si="10"/>
        <v>0</v>
      </c>
      <c r="L63" s="19">
        <f t="shared" si="11"/>
        <v>0</v>
      </c>
    </row>
    <row r="64" spans="1:12" x14ac:dyDescent="0.2">
      <c r="A64">
        <v>48</v>
      </c>
      <c r="B64" s="16" cm="1">
        <f t="array" ref="B64">IF(A64&lt;=n,act_nGrAx(x+$A64,MAX(0,n-$A64),Sex,MortalityTable,InterestRate)+Act_Dx(x+n,Sex,MortalityTable,InterestRate)/Act_Dx(x+$A64,Sex,MortalityTable,InterestRate),0)</f>
        <v>0</v>
      </c>
      <c r="C64" s="17" cm="1">
        <f t="array" ref="C64">Act_axn_k(x+$A64,MAX(0,n-$A64),Sex,MortalityTable,InterestRate,1)</f>
        <v>0</v>
      </c>
      <c r="D64" s="17" cm="1">
        <f t="array" ref="D64">Act_axn_k(x+$A64,MAX(0,t-$A64),Sex,MortalityTable,InterestRate,1)</f>
        <v>0</v>
      </c>
      <c r="E64" s="16" cm="1">
        <f t="array" ref="E64">B64-P_xt*D64+gamma2*(C64-Act_axn_k(x,n,Sex,MortalityTable,InterestRate,1)/Act_axn_k(x,t,Sex,MortalityTable,InterestRate,1)*D64)</f>
        <v>0</v>
      </c>
      <c r="F64" s="19">
        <f t="shared" si="6"/>
        <v>0</v>
      </c>
      <c r="G64" s="16">
        <f t="shared" si="7"/>
        <v>0</v>
      </c>
      <c r="H64" s="19" cm="1">
        <f t="array" ref="H64">F64+alpha*t*GrossAnnualPrem*Act_axn_k(x+A64,MAX(5-A64,0),Sex,MortalityTable,InterestRate,1)/Act_axn_k(x,5,Sex,MortalityTable,InterestRate,1)</f>
        <v>0</v>
      </c>
      <c r="I64" s="21">
        <f t="shared" si="8"/>
        <v>1</v>
      </c>
      <c r="J64" s="19">
        <f t="shared" si="9"/>
        <v>0</v>
      </c>
      <c r="K64" s="19">
        <f t="shared" si="10"/>
        <v>0</v>
      </c>
      <c r="L64" s="19">
        <f t="shared" si="11"/>
        <v>0</v>
      </c>
    </row>
    <row r="65" spans="1:12" x14ac:dyDescent="0.2">
      <c r="A65">
        <v>49</v>
      </c>
      <c r="B65" s="16" cm="1">
        <f t="array" ref="B65">IF(A65&lt;=n,act_nGrAx(x+$A65,MAX(0,n-$A65),Sex,MortalityTable,InterestRate)+Act_Dx(x+n,Sex,MortalityTable,InterestRate)/Act_Dx(x+$A65,Sex,MortalityTable,InterestRate),0)</f>
        <v>0</v>
      </c>
      <c r="C65" s="17" cm="1">
        <f t="array" ref="C65">Act_axn_k(x+$A65,MAX(0,n-$A65),Sex,MortalityTable,InterestRate,1)</f>
        <v>0</v>
      </c>
      <c r="D65" s="17" cm="1">
        <f t="array" ref="D65">Act_axn_k(x+$A65,MAX(0,t-$A65),Sex,MortalityTable,InterestRate,1)</f>
        <v>0</v>
      </c>
      <c r="E65" s="16" cm="1">
        <f t="array" ref="E65">B65-P_xt*D65+gamma2*(C65-Act_axn_k(x,n,Sex,MortalityTable,InterestRate,1)/Act_axn_k(x,t,Sex,MortalityTable,InterestRate,1)*D65)</f>
        <v>0</v>
      </c>
      <c r="F65" s="19">
        <f t="shared" si="6"/>
        <v>0</v>
      </c>
      <c r="G65" s="16">
        <f t="shared" si="7"/>
        <v>0</v>
      </c>
      <c r="H65" s="19" cm="1">
        <f t="array" ref="H65">F65+alpha*t*GrossAnnualPrem*Act_axn_k(x+A65,MAX(5-A65,0),Sex,MortalityTable,InterestRate,1)/Act_axn_k(x,5,Sex,MortalityTable,InterestRate,1)</f>
        <v>0</v>
      </c>
      <c r="I65" s="21">
        <f t="shared" si="8"/>
        <v>1</v>
      </c>
      <c r="J65" s="19">
        <f t="shared" si="9"/>
        <v>0</v>
      </c>
      <c r="K65" s="19">
        <f t="shared" si="10"/>
        <v>0</v>
      </c>
      <c r="L65" s="19">
        <f t="shared" si="11"/>
        <v>0</v>
      </c>
    </row>
    <row r="66" spans="1:12" x14ac:dyDescent="0.2">
      <c r="A66">
        <v>50</v>
      </c>
      <c r="B66" s="16" cm="1">
        <f t="array" ref="B66">IF(A66&lt;=n,act_nGrAx(x+$A66,MAX(0,n-$A66),Sex,MortalityTable,InterestRate)+Act_Dx(x+n,Sex,MortalityTable,InterestRate)/Act_Dx(x+$A66,Sex,MortalityTable,InterestRate),0)</f>
        <v>0</v>
      </c>
      <c r="C66" s="17" cm="1">
        <f t="array" ref="C66">Act_axn_k(x+$A66,MAX(0,n-$A66),Sex,MortalityTable,InterestRate,1)</f>
        <v>0</v>
      </c>
      <c r="D66" s="17" cm="1">
        <f t="array" ref="D66">Act_axn_k(x+$A66,MAX(0,t-$A66),Sex,MortalityTable,InterestRate,1)</f>
        <v>0</v>
      </c>
      <c r="E66" s="16" cm="1">
        <f t="array" ref="E66">B66-P_xt*D66+gamma2*(C66-Act_axn_k(x,n,Sex,MortalityTable,InterestRate,1)/Act_axn_k(x,t,Sex,MortalityTable,InterestRate,1)*D66)</f>
        <v>0</v>
      </c>
      <c r="F66" s="19">
        <f t="shared" si="6"/>
        <v>0</v>
      </c>
      <c r="G66" s="16">
        <f t="shared" si="7"/>
        <v>0</v>
      </c>
      <c r="H66" s="19" cm="1">
        <f t="array" ref="H66">F66+alpha*t*GrossAnnualPrem*Act_axn_k(x+A66,MAX(5-A66,0),Sex,MortalityTable,InterestRate,1)/Act_axn_k(x,5,Sex,MortalityTable,InterestRate,1)</f>
        <v>0</v>
      </c>
      <c r="I66" s="21">
        <f t="shared" si="8"/>
        <v>1</v>
      </c>
      <c r="J66" s="19">
        <f t="shared" si="9"/>
        <v>0</v>
      </c>
      <c r="K66" s="19">
        <f t="shared" si="10"/>
        <v>0</v>
      </c>
      <c r="L66" s="19">
        <f t="shared" si="11"/>
        <v>0</v>
      </c>
    </row>
  </sheetData>
  <conditionalFormatting sqref="A16:L66">
    <cfRule type="expression" dxfId="2" priority="1">
      <formula>$A16&gt;n</formula>
    </cfRule>
    <cfRule type="expression" dxfId="1" priority="2">
      <formula>$A16=n</formula>
    </cfRule>
    <cfRule type="expression" dxfId="0" priority="3">
      <formula>$A16=t</formula>
    </cfRule>
  </conditionalFormatting>
  <dataValidations count="2">
    <dataValidation type="list" allowBlank="1" showInputMessage="1" showErrorMessage="1" sqref="B5" xr:uid="{00000000-0002-0000-0000-000000000000}">
      <formula1>"M,F"</formula1>
    </dataValidation>
    <dataValidation type="list" allowBlank="1" showInputMessage="1" showErrorMessage="1" sqref="B9" xr:uid="{00000000-0002-0000-0000-000001000000}">
      <formula1>"1,2,4,12"</formula1>
    </dataValidation>
  </dataValidations>
  <pageMargins left="0.7" right="0.7" top="0.78740157499999996" bottom="0.78740157499999996" header="0.3" footer="0.3"/>
  <pageSetup paperSize="9" scale="58" orientation="landscape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3:E127"/>
  <sheetViews>
    <sheetView workbookViewId="0">
      <pane xSplit="1" ySplit="3" topLeftCell="B4" activePane="bottomRight" state="frozen"/>
      <selection activeCell="U4" sqref="U4"/>
      <selection pane="topRight" activeCell="U4" sqref="U4"/>
      <selection pane="bottomLeft" activeCell="U4" sqref="U4"/>
      <selection pane="bottomRight" activeCell="J103" sqref="J103"/>
    </sheetView>
  </sheetViews>
  <sheetFormatPr baseColWidth="10" defaultColWidth="15.85546875" defaultRowHeight="12.75" x14ac:dyDescent="0.2"/>
  <cols>
    <col min="1" max="1" width="15.85546875" style="1" customWidth="1"/>
    <col min="2" max="16384" width="15.85546875" style="1"/>
  </cols>
  <sheetData>
    <row r="3" spans="1:5" x14ac:dyDescent="0.2">
      <c r="A3" s="2" t="s">
        <v>28</v>
      </c>
      <c r="B3" s="2" t="s">
        <v>29</v>
      </c>
      <c r="C3" s="2" t="s">
        <v>30</v>
      </c>
      <c r="D3" s="2" t="s">
        <v>31</v>
      </c>
      <c r="E3" s="2" t="s">
        <v>32</v>
      </c>
    </row>
    <row r="4" spans="1:5" x14ac:dyDescent="0.2">
      <c r="A4" s="1">
        <v>0</v>
      </c>
      <c r="B4" s="3">
        <v>1.1686999999999999E-2</v>
      </c>
      <c r="C4" s="3">
        <v>9.0030000000000006E-3</v>
      </c>
      <c r="D4" s="3">
        <v>6.1130000000000004E-3</v>
      </c>
      <c r="E4" s="3">
        <v>5.0879999999999996E-3</v>
      </c>
    </row>
    <row r="5" spans="1:5" x14ac:dyDescent="0.2">
      <c r="A5" s="1">
        <v>1</v>
      </c>
      <c r="B5" s="3">
        <v>1.008E-3</v>
      </c>
      <c r="C5" s="3">
        <v>8.6700000000000004E-4</v>
      </c>
      <c r="D5" s="3">
        <v>4.2299999999999998E-4</v>
      </c>
      <c r="E5" s="3">
        <v>3.8699999999999997E-4</v>
      </c>
    </row>
    <row r="6" spans="1:5" x14ac:dyDescent="0.2">
      <c r="A6" s="1">
        <v>2</v>
      </c>
      <c r="B6" s="3">
        <v>7.2800000000000002E-4</v>
      </c>
      <c r="C6" s="3">
        <v>6.2399999999999999E-4</v>
      </c>
      <c r="D6" s="3">
        <v>3.4299999999999999E-4</v>
      </c>
      <c r="E6" s="3">
        <v>3.1799999999999998E-4</v>
      </c>
    </row>
    <row r="7" spans="1:5" x14ac:dyDescent="0.2">
      <c r="A7" s="1">
        <v>3</v>
      </c>
      <c r="B7" s="3">
        <v>5.4199999999999995E-4</v>
      </c>
      <c r="C7" s="3">
        <v>4.44E-4</v>
      </c>
      <c r="D7" s="3">
        <v>2.7500000000000002E-4</v>
      </c>
      <c r="E7" s="3">
        <v>2.5500000000000002E-4</v>
      </c>
    </row>
    <row r="8" spans="1:5" x14ac:dyDescent="0.2">
      <c r="A8" s="1">
        <v>4</v>
      </c>
      <c r="B8" s="3">
        <v>4.73E-4</v>
      </c>
      <c r="C8" s="3">
        <v>3.4499999999999998E-4</v>
      </c>
      <c r="D8" s="3">
        <v>2.2000000000000001E-4</v>
      </c>
      <c r="E8" s="3">
        <v>2.02E-4</v>
      </c>
    </row>
    <row r="9" spans="1:5" x14ac:dyDescent="0.2">
      <c r="A9" s="1">
        <v>5</v>
      </c>
      <c r="B9" s="3">
        <v>4.5199999999999998E-4</v>
      </c>
      <c r="C9" s="3">
        <v>3.0699999999999998E-4</v>
      </c>
      <c r="D9" s="3">
        <v>1.8200000000000001E-4</v>
      </c>
      <c r="E9" s="3">
        <v>1.63E-4</v>
      </c>
    </row>
    <row r="10" spans="1:5" x14ac:dyDescent="0.2">
      <c r="A10" s="1">
        <v>6</v>
      </c>
      <c r="B10" s="3">
        <v>4.3300000000000001E-4</v>
      </c>
      <c r="C10" s="3">
        <v>2.9300000000000002E-4</v>
      </c>
      <c r="D10" s="3">
        <v>1.55E-4</v>
      </c>
      <c r="E10" s="3">
        <v>1.34E-4</v>
      </c>
    </row>
    <row r="11" spans="1:5" x14ac:dyDescent="0.2">
      <c r="A11" s="1">
        <v>7</v>
      </c>
      <c r="B11" s="3">
        <v>4.08E-4</v>
      </c>
      <c r="C11" s="3">
        <v>2.8299999999999999E-4</v>
      </c>
      <c r="D11" s="3">
        <v>1.3899999999999999E-4</v>
      </c>
      <c r="E11" s="3">
        <v>1.15E-4</v>
      </c>
    </row>
    <row r="12" spans="1:5" x14ac:dyDescent="0.2">
      <c r="A12" s="1">
        <v>8</v>
      </c>
      <c r="B12" s="3">
        <v>3.79E-4</v>
      </c>
      <c r="C12" s="3">
        <v>2.7500000000000002E-4</v>
      </c>
      <c r="D12" s="3">
        <v>1.2899999999999999E-4</v>
      </c>
      <c r="E12" s="3">
        <v>1.05E-4</v>
      </c>
    </row>
    <row r="13" spans="1:5" x14ac:dyDescent="0.2">
      <c r="A13" s="1">
        <v>9</v>
      </c>
      <c r="B13" s="3">
        <v>3.5199999999999999E-4</v>
      </c>
      <c r="C13" s="3">
        <v>2.6800000000000001E-4</v>
      </c>
      <c r="D13" s="3">
        <v>1.25E-4</v>
      </c>
      <c r="E13" s="3">
        <v>9.8999999999999994E-5</v>
      </c>
    </row>
    <row r="14" spans="1:5" x14ac:dyDescent="0.2">
      <c r="A14" s="1">
        <v>10</v>
      </c>
      <c r="B14" s="3">
        <v>3.3399999999999999E-4</v>
      </c>
      <c r="C14" s="3">
        <v>2.61E-4</v>
      </c>
      <c r="D14" s="3">
        <v>1.2899999999999999E-4</v>
      </c>
      <c r="E14" s="3">
        <v>1.02E-4</v>
      </c>
    </row>
    <row r="15" spans="1:5" x14ac:dyDescent="0.2">
      <c r="A15" s="1">
        <v>11</v>
      </c>
      <c r="B15" s="3">
        <v>3.3100000000000002E-4</v>
      </c>
      <c r="C15" s="3">
        <v>2.5999999999999998E-4</v>
      </c>
      <c r="D15" s="3">
        <v>1.4300000000000001E-4</v>
      </c>
      <c r="E15" s="3">
        <v>1.11E-4</v>
      </c>
    </row>
    <row r="16" spans="1:5" x14ac:dyDescent="0.2">
      <c r="A16" s="1">
        <v>12</v>
      </c>
      <c r="B16" s="3">
        <v>3.4000000000000002E-4</v>
      </c>
      <c r="C16" s="3">
        <v>2.6699999999999998E-4</v>
      </c>
      <c r="D16" s="3">
        <v>1.73E-4</v>
      </c>
      <c r="E16" s="3">
        <v>1.27E-4</v>
      </c>
    </row>
    <row r="17" spans="1:5" x14ac:dyDescent="0.2">
      <c r="A17" s="1">
        <v>13</v>
      </c>
      <c r="B17" s="3">
        <v>3.7100000000000002E-4</v>
      </c>
      <c r="C17" s="3">
        <v>2.81E-4</v>
      </c>
      <c r="D17" s="3">
        <v>2.22E-4</v>
      </c>
      <c r="E17" s="3">
        <v>1.5300000000000001E-4</v>
      </c>
    </row>
    <row r="18" spans="1:5" x14ac:dyDescent="0.2">
      <c r="A18" s="1">
        <v>14</v>
      </c>
      <c r="B18" s="3">
        <v>4.5100000000000001E-4</v>
      </c>
      <c r="C18" s="3">
        <v>3.0699999999999998E-4</v>
      </c>
      <c r="D18" s="3">
        <v>3.0299999999999999E-4</v>
      </c>
      <c r="E18" s="3">
        <v>1.8799999999999999E-4</v>
      </c>
    </row>
    <row r="19" spans="1:5" x14ac:dyDescent="0.2">
      <c r="A19" s="1">
        <v>15</v>
      </c>
      <c r="B19" s="3">
        <v>5.9299999999999999E-4</v>
      </c>
      <c r="C19" s="3">
        <v>3.5300000000000002E-4</v>
      </c>
      <c r="D19" s="3">
        <v>4.17E-4</v>
      </c>
      <c r="E19" s="3">
        <v>2.2800000000000001E-4</v>
      </c>
    </row>
    <row r="20" spans="1:5" x14ac:dyDescent="0.2">
      <c r="A20" s="1">
        <v>16</v>
      </c>
      <c r="B20" s="3">
        <v>7.9199999999999995E-4</v>
      </c>
      <c r="C20" s="3">
        <v>4.1599999999999997E-4</v>
      </c>
      <c r="D20" s="3">
        <v>5.5699999999999999E-4</v>
      </c>
      <c r="E20" s="3">
        <v>2.7099999999999997E-4</v>
      </c>
    </row>
    <row r="21" spans="1:5" x14ac:dyDescent="0.2">
      <c r="A21" s="1">
        <v>17</v>
      </c>
      <c r="B21" s="3">
        <v>1.0399999999999999E-3</v>
      </c>
      <c r="C21" s="3">
        <v>4.8000000000000001E-4</v>
      </c>
      <c r="D21" s="3">
        <v>7.0899999999999999E-4</v>
      </c>
      <c r="E21" s="3">
        <v>3.1E-4</v>
      </c>
    </row>
    <row r="22" spans="1:5" x14ac:dyDescent="0.2">
      <c r="A22" s="1">
        <v>18</v>
      </c>
      <c r="B22" s="3">
        <v>1.2979999999999999E-3</v>
      </c>
      <c r="C22" s="3">
        <v>5.3700000000000004E-4</v>
      </c>
      <c r="D22" s="3">
        <v>8.4999999999999995E-4</v>
      </c>
      <c r="E22" s="3">
        <v>3.2400000000000001E-4</v>
      </c>
    </row>
    <row r="23" spans="1:5" x14ac:dyDescent="0.2">
      <c r="A23" s="1">
        <v>19</v>
      </c>
      <c r="B23" s="3">
        <v>1.4369999999999999E-3</v>
      </c>
      <c r="C23" s="3">
        <v>5.5999999999999995E-4</v>
      </c>
      <c r="D23" s="3">
        <v>9.5299999999999996E-4</v>
      </c>
      <c r="E23" s="3">
        <v>3.3E-4</v>
      </c>
    </row>
    <row r="24" spans="1:5" x14ac:dyDescent="0.2">
      <c r="A24" s="1">
        <v>20</v>
      </c>
      <c r="B24" s="3">
        <v>1.4760000000000001E-3</v>
      </c>
      <c r="C24" s="3">
        <v>5.5999999999999995E-4</v>
      </c>
      <c r="D24" s="3">
        <v>1.0120000000000001E-3</v>
      </c>
      <c r="E24" s="3">
        <v>3.28E-4</v>
      </c>
    </row>
    <row r="25" spans="1:5" x14ac:dyDescent="0.2">
      <c r="A25" s="1">
        <v>21</v>
      </c>
      <c r="B25" s="3">
        <v>1.4760000000000001E-3</v>
      </c>
      <c r="C25" s="3">
        <v>5.5999999999999995E-4</v>
      </c>
      <c r="D25" s="3">
        <v>1.0219999999999999E-3</v>
      </c>
      <c r="E25" s="3">
        <v>3.2200000000000002E-4</v>
      </c>
    </row>
    <row r="26" spans="1:5" x14ac:dyDescent="0.2">
      <c r="A26" s="1">
        <v>22</v>
      </c>
      <c r="B26" s="3">
        <v>1.4760000000000001E-3</v>
      </c>
      <c r="C26" s="3">
        <v>5.5999999999999995E-4</v>
      </c>
      <c r="D26" s="3">
        <v>1.0039999999999999E-3</v>
      </c>
      <c r="E26" s="3">
        <v>3.1399999999999999E-4</v>
      </c>
    </row>
    <row r="27" spans="1:5" x14ac:dyDescent="0.2">
      <c r="A27" s="1">
        <v>23</v>
      </c>
      <c r="B27" s="3">
        <v>1.4760000000000001E-3</v>
      </c>
      <c r="C27" s="3">
        <v>5.5999999999999995E-4</v>
      </c>
      <c r="D27" s="3">
        <v>9.6299999999999999E-4</v>
      </c>
      <c r="E27" s="3">
        <v>3.0400000000000002E-4</v>
      </c>
    </row>
    <row r="28" spans="1:5" x14ac:dyDescent="0.2">
      <c r="A28" s="1">
        <v>24</v>
      </c>
      <c r="B28" s="3">
        <v>1.4760000000000001E-3</v>
      </c>
      <c r="C28" s="3">
        <v>5.5999999999999995E-4</v>
      </c>
      <c r="D28" s="3">
        <v>9.1100000000000003E-4</v>
      </c>
      <c r="E28" s="3">
        <v>2.9700000000000001E-4</v>
      </c>
    </row>
    <row r="29" spans="1:5" x14ac:dyDescent="0.2">
      <c r="A29" s="1">
        <v>25</v>
      </c>
      <c r="B29" s="3">
        <v>1.4760000000000001E-3</v>
      </c>
      <c r="C29" s="3">
        <v>5.5999999999999995E-4</v>
      </c>
      <c r="D29" s="3">
        <v>8.5599999999999999E-4</v>
      </c>
      <c r="E29" s="3">
        <v>2.9300000000000002E-4</v>
      </c>
    </row>
    <row r="30" spans="1:5" x14ac:dyDescent="0.2">
      <c r="A30" s="1">
        <v>26</v>
      </c>
      <c r="B30" s="3">
        <v>1.4760000000000001E-3</v>
      </c>
      <c r="C30" s="3">
        <v>5.5999999999999995E-4</v>
      </c>
      <c r="D30" s="3">
        <v>8.0800000000000002E-4</v>
      </c>
      <c r="E30" s="3">
        <v>2.92E-4</v>
      </c>
    </row>
    <row r="31" spans="1:5" x14ac:dyDescent="0.2">
      <c r="A31" s="1">
        <v>27</v>
      </c>
      <c r="B31" s="3">
        <v>1.4760000000000001E-3</v>
      </c>
      <c r="C31" s="3">
        <v>5.8100000000000003E-4</v>
      </c>
      <c r="D31" s="3">
        <v>7.7200000000000001E-4</v>
      </c>
      <c r="E31" s="3">
        <v>2.92E-4</v>
      </c>
    </row>
    <row r="32" spans="1:5" x14ac:dyDescent="0.2">
      <c r="A32" s="1">
        <v>28</v>
      </c>
      <c r="B32" s="3">
        <v>1.4760000000000001E-3</v>
      </c>
      <c r="C32" s="3">
        <v>6.1200000000000002E-4</v>
      </c>
      <c r="D32" s="3">
        <v>7.5199999999999996E-4</v>
      </c>
      <c r="E32" s="3">
        <v>2.9599999999999998E-4</v>
      </c>
    </row>
    <row r="33" spans="1:5" x14ac:dyDescent="0.2">
      <c r="A33" s="1">
        <v>29</v>
      </c>
      <c r="B33" s="3">
        <v>1.4760000000000001E-3</v>
      </c>
      <c r="C33" s="3">
        <v>6.4499999999999996E-4</v>
      </c>
      <c r="D33" s="3">
        <v>7.45E-4</v>
      </c>
      <c r="E33" s="3">
        <v>3.0200000000000002E-4</v>
      </c>
    </row>
    <row r="34" spans="1:5" x14ac:dyDescent="0.2">
      <c r="A34" s="1">
        <v>30</v>
      </c>
      <c r="B34" s="3">
        <v>1.4760000000000001E-3</v>
      </c>
      <c r="C34" s="3">
        <v>6.8900000000000005E-4</v>
      </c>
      <c r="D34" s="3">
        <v>7.5199999999999996E-4</v>
      </c>
      <c r="E34" s="3">
        <v>3.1100000000000002E-4</v>
      </c>
    </row>
    <row r="35" spans="1:5" x14ac:dyDescent="0.2">
      <c r="A35" s="1">
        <v>31</v>
      </c>
      <c r="B35" s="3">
        <v>1.4760000000000001E-3</v>
      </c>
      <c r="C35" s="3">
        <v>7.3499999999999998E-4</v>
      </c>
      <c r="D35" s="3">
        <v>7.6800000000000002E-4</v>
      </c>
      <c r="E35" s="3">
        <v>3.2699999999999998E-4</v>
      </c>
    </row>
    <row r="36" spans="1:5" x14ac:dyDescent="0.2">
      <c r="A36" s="1">
        <v>32</v>
      </c>
      <c r="B36" s="3">
        <v>1.4890000000000001E-3</v>
      </c>
      <c r="C36" s="3">
        <v>7.8299999999999995E-4</v>
      </c>
      <c r="D36" s="3">
        <v>7.9100000000000004E-4</v>
      </c>
      <c r="E36" s="3">
        <v>3.5100000000000002E-4</v>
      </c>
    </row>
    <row r="37" spans="1:5" x14ac:dyDescent="0.2">
      <c r="A37" s="1">
        <v>33</v>
      </c>
      <c r="B37" s="3">
        <v>1.5510000000000001E-3</v>
      </c>
      <c r="C37" s="3">
        <v>8.3299999999999997E-4</v>
      </c>
      <c r="D37" s="3">
        <v>8.1999999999999998E-4</v>
      </c>
      <c r="E37" s="3">
        <v>3.86E-4</v>
      </c>
    </row>
    <row r="38" spans="1:5" x14ac:dyDescent="0.2">
      <c r="A38" s="1">
        <v>34</v>
      </c>
      <c r="B38" s="3">
        <v>1.6410000000000001E-3</v>
      </c>
      <c r="C38" s="3">
        <v>8.9700000000000001E-4</v>
      </c>
      <c r="D38" s="3">
        <v>8.5499999999999997E-4</v>
      </c>
      <c r="E38" s="3">
        <v>4.3300000000000001E-4</v>
      </c>
    </row>
    <row r="39" spans="1:5" x14ac:dyDescent="0.2">
      <c r="A39" s="1">
        <v>35</v>
      </c>
      <c r="B39" s="3">
        <v>1.7470000000000001E-3</v>
      </c>
      <c r="C39" s="3">
        <v>9.7099999999999997E-4</v>
      </c>
      <c r="D39" s="3">
        <v>8.9499999999999996E-4</v>
      </c>
      <c r="E39" s="3">
        <v>4.8999999999999998E-4</v>
      </c>
    </row>
    <row r="40" spans="1:5" x14ac:dyDescent="0.2">
      <c r="A40" s="1">
        <v>36</v>
      </c>
      <c r="B40" s="3">
        <v>1.869E-3</v>
      </c>
      <c r="C40" s="3">
        <v>1.057E-3</v>
      </c>
      <c r="D40" s="3">
        <v>9.4499999999999998E-4</v>
      </c>
      <c r="E40" s="3">
        <v>5.5500000000000005E-4</v>
      </c>
    </row>
    <row r="41" spans="1:5" x14ac:dyDescent="0.2">
      <c r="A41" s="1">
        <v>37</v>
      </c>
      <c r="B41" s="3">
        <v>2.0070000000000001E-3</v>
      </c>
      <c r="C41" s="3">
        <v>1.1559999999999999E-3</v>
      </c>
      <c r="D41" s="3">
        <v>1.005E-3</v>
      </c>
      <c r="E41" s="3">
        <v>6.2399999999999999E-4</v>
      </c>
    </row>
    <row r="42" spans="1:5" x14ac:dyDescent="0.2">
      <c r="A42" s="1">
        <v>38</v>
      </c>
      <c r="B42" s="3">
        <v>2.1670000000000001E-3</v>
      </c>
      <c r="C42" s="3">
        <v>1.2669999999999999E-3</v>
      </c>
      <c r="D42" s="3">
        <v>1.083E-3</v>
      </c>
      <c r="E42" s="3">
        <v>7.0100000000000002E-4</v>
      </c>
    </row>
    <row r="43" spans="1:5" x14ac:dyDescent="0.2">
      <c r="A43" s="1">
        <v>39</v>
      </c>
      <c r="B43" s="3">
        <v>2.3540000000000002E-3</v>
      </c>
      <c r="C43" s="3">
        <v>1.39E-3</v>
      </c>
      <c r="D43" s="3">
        <v>1.181E-3</v>
      </c>
      <c r="E43" s="3">
        <v>7.8299999999999995E-4</v>
      </c>
    </row>
    <row r="44" spans="1:5" x14ac:dyDescent="0.2">
      <c r="A44" s="1">
        <v>40</v>
      </c>
      <c r="B44" s="3">
        <v>2.5690000000000001E-3</v>
      </c>
      <c r="C44" s="3">
        <v>1.524E-3</v>
      </c>
      <c r="D44" s="3">
        <v>1.3010000000000001E-3</v>
      </c>
      <c r="E44" s="3">
        <v>8.7200000000000005E-4</v>
      </c>
    </row>
    <row r="45" spans="1:5" x14ac:dyDescent="0.2">
      <c r="A45" s="1">
        <v>41</v>
      </c>
      <c r="B45" s="3">
        <v>2.823E-3</v>
      </c>
      <c r="C45" s="3">
        <v>1.6720000000000001E-3</v>
      </c>
      <c r="D45" s="3">
        <v>1.4469999999999999E-3</v>
      </c>
      <c r="E45" s="3">
        <v>9.7199999999999999E-4</v>
      </c>
    </row>
    <row r="46" spans="1:5" x14ac:dyDescent="0.2">
      <c r="A46" s="1">
        <v>42</v>
      </c>
      <c r="B46" s="3">
        <v>3.0869999999999999E-3</v>
      </c>
      <c r="C46" s="3">
        <v>1.812E-3</v>
      </c>
      <c r="D46" s="3">
        <v>1.6230000000000001E-3</v>
      </c>
      <c r="E46" s="3">
        <v>1.0839999999999999E-3</v>
      </c>
    </row>
    <row r="47" spans="1:5" x14ac:dyDescent="0.2">
      <c r="A47" s="1">
        <v>43</v>
      </c>
      <c r="B47" s="3">
        <v>3.3869999999999998E-3</v>
      </c>
      <c r="C47" s="3">
        <v>1.964E-3</v>
      </c>
      <c r="D47" s="3">
        <v>1.833E-3</v>
      </c>
      <c r="E47" s="3">
        <v>1.2130000000000001E-3</v>
      </c>
    </row>
    <row r="48" spans="1:5" x14ac:dyDescent="0.2">
      <c r="A48" s="1">
        <v>44</v>
      </c>
      <c r="B48" s="3">
        <v>3.7260000000000001E-3</v>
      </c>
      <c r="C48" s="3">
        <v>2.1259999999999999E-3</v>
      </c>
      <c r="D48" s="3">
        <v>2.0820000000000001E-3</v>
      </c>
      <c r="E48" s="3">
        <v>1.359E-3</v>
      </c>
    </row>
    <row r="49" spans="1:5" x14ac:dyDescent="0.2">
      <c r="A49" s="1">
        <v>45</v>
      </c>
      <c r="B49" s="3">
        <v>4.1000000000000003E-3</v>
      </c>
      <c r="C49" s="3">
        <v>2.2950000000000002E-3</v>
      </c>
      <c r="D49" s="3">
        <v>2.3640000000000002E-3</v>
      </c>
      <c r="E49" s="3">
        <v>1.524E-3</v>
      </c>
    </row>
    <row r="50" spans="1:5" x14ac:dyDescent="0.2">
      <c r="A50" s="1">
        <v>46</v>
      </c>
      <c r="B50" s="3">
        <v>4.522E-3</v>
      </c>
      <c r="C50" s="3">
        <v>2.48E-3</v>
      </c>
      <c r="D50" s="3">
        <v>2.6689999999999999E-3</v>
      </c>
      <c r="E50" s="3">
        <v>1.7060000000000001E-3</v>
      </c>
    </row>
    <row r="51" spans="1:5" x14ac:dyDescent="0.2">
      <c r="A51" s="1">
        <v>47</v>
      </c>
      <c r="B51" s="3">
        <v>4.9829999999999996E-3</v>
      </c>
      <c r="C51" s="3">
        <v>2.676E-3</v>
      </c>
      <c r="D51" s="3">
        <v>2.983E-3</v>
      </c>
      <c r="E51" s="3">
        <v>1.903E-3</v>
      </c>
    </row>
    <row r="52" spans="1:5" x14ac:dyDescent="0.2">
      <c r="A52" s="1">
        <v>48</v>
      </c>
      <c r="B52" s="3">
        <v>5.5079999999999999E-3</v>
      </c>
      <c r="C52" s="3">
        <v>2.9020000000000001E-3</v>
      </c>
      <c r="D52" s="3">
        <v>3.3019999999999998E-3</v>
      </c>
      <c r="E52" s="3">
        <v>2.1090000000000002E-3</v>
      </c>
    </row>
    <row r="53" spans="1:5" x14ac:dyDescent="0.2">
      <c r="A53" s="1">
        <v>49</v>
      </c>
      <c r="B53" s="3">
        <v>6.0939999999999996E-3</v>
      </c>
      <c r="C53" s="3">
        <v>3.1510000000000002E-3</v>
      </c>
      <c r="D53" s="3">
        <v>3.63E-3</v>
      </c>
      <c r="E53" s="3">
        <v>2.3240000000000001E-3</v>
      </c>
    </row>
    <row r="54" spans="1:5" x14ac:dyDescent="0.2">
      <c r="A54" s="1">
        <v>50</v>
      </c>
      <c r="B54" s="3">
        <v>6.7510000000000001E-3</v>
      </c>
      <c r="C54" s="3">
        <v>3.4250000000000001E-3</v>
      </c>
      <c r="D54" s="3">
        <v>3.9810000000000002E-3</v>
      </c>
      <c r="E54" s="3">
        <v>2.5460000000000001E-3</v>
      </c>
    </row>
    <row r="55" spans="1:5" x14ac:dyDescent="0.2">
      <c r="A55" s="1">
        <v>51</v>
      </c>
      <c r="B55" s="3">
        <v>7.4850000000000003E-3</v>
      </c>
      <c r="C55" s="3">
        <v>3.728E-3</v>
      </c>
      <c r="D55" s="3">
        <v>4.3709999999999999E-3</v>
      </c>
      <c r="E55" s="3">
        <v>2.7820000000000002E-3</v>
      </c>
    </row>
    <row r="56" spans="1:5" x14ac:dyDescent="0.2">
      <c r="A56" s="1">
        <v>52</v>
      </c>
      <c r="B56" s="3">
        <v>8.3020000000000004E-3</v>
      </c>
      <c r="C56" s="3">
        <v>4.0660000000000002E-3</v>
      </c>
      <c r="D56" s="3">
        <v>4.8120000000000003E-3</v>
      </c>
      <c r="E56" s="3">
        <v>3.0349999999999999E-3</v>
      </c>
    </row>
    <row r="57" spans="1:5" x14ac:dyDescent="0.2">
      <c r="A57" s="1">
        <v>53</v>
      </c>
      <c r="B57" s="3">
        <v>9.2149999999999992E-3</v>
      </c>
      <c r="C57" s="3">
        <v>4.45E-3</v>
      </c>
      <c r="D57" s="3">
        <v>5.3080000000000002E-3</v>
      </c>
      <c r="E57" s="3">
        <v>3.3059999999999999E-3</v>
      </c>
    </row>
    <row r="58" spans="1:5" x14ac:dyDescent="0.2">
      <c r="A58" s="1">
        <v>54</v>
      </c>
      <c r="B58" s="3">
        <v>1.0194999999999999E-2</v>
      </c>
      <c r="C58" s="3">
        <v>4.862E-3</v>
      </c>
      <c r="D58" s="3">
        <v>5.8570000000000002E-3</v>
      </c>
      <c r="E58" s="3">
        <v>3.5929999999999998E-3</v>
      </c>
    </row>
    <row r="59" spans="1:5" x14ac:dyDescent="0.2">
      <c r="A59" s="1">
        <v>55</v>
      </c>
      <c r="B59" s="3">
        <v>1.1235999999999999E-2</v>
      </c>
      <c r="C59" s="3">
        <v>5.3030000000000004E-3</v>
      </c>
      <c r="D59" s="3">
        <v>6.4599999999999996E-3</v>
      </c>
      <c r="E59" s="3">
        <v>3.898E-3</v>
      </c>
    </row>
    <row r="60" spans="1:5" x14ac:dyDescent="0.2">
      <c r="A60" s="1">
        <v>56</v>
      </c>
      <c r="B60" s="3">
        <v>1.234E-2</v>
      </c>
      <c r="C60" s="3">
        <v>5.777E-3</v>
      </c>
      <c r="D60" s="3">
        <v>7.1170000000000001E-3</v>
      </c>
      <c r="E60" s="3">
        <v>4.228E-3</v>
      </c>
    </row>
    <row r="61" spans="1:5" x14ac:dyDescent="0.2">
      <c r="A61" s="1">
        <v>57</v>
      </c>
      <c r="B61" s="3">
        <v>1.3519E-2</v>
      </c>
      <c r="C61" s="3">
        <v>6.3020000000000003E-3</v>
      </c>
      <c r="D61" s="3">
        <v>7.8309999999999994E-3</v>
      </c>
      <c r="E61" s="3">
        <v>4.5849999999999997E-3</v>
      </c>
    </row>
    <row r="62" spans="1:5" x14ac:dyDescent="0.2">
      <c r="A62" s="1">
        <v>58</v>
      </c>
      <c r="B62" s="3">
        <v>1.4784E-2</v>
      </c>
      <c r="C62" s="3">
        <v>6.8840000000000004E-3</v>
      </c>
      <c r="D62" s="3">
        <v>8.6040000000000005E-3</v>
      </c>
      <c r="E62" s="3">
        <v>4.9740000000000001E-3</v>
      </c>
    </row>
    <row r="63" spans="1:5" x14ac:dyDescent="0.2">
      <c r="A63" s="1">
        <v>59</v>
      </c>
      <c r="B63" s="3">
        <v>1.6150000000000001E-2</v>
      </c>
      <c r="C63" s="3">
        <v>7.5300000000000002E-3</v>
      </c>
      <c r="D63" s="3">
        <v>9.4540000000000006E-3</v>
      </c>
      <c r="E63" s="3">
        <v>5.4019999999999997E-3</v>
      </c>
    </row>
    <row r="64" spans="1:5" x14ac:dyDescent="0.2">
      <c r="A64" s="1">
        <v>60</v>
      </c>
      <c r="B64" s="3">
        <v>1.7624999999999998E-2</v>
      </c>
      <c r="C64" s="3">
        <v>8.2400000000000008E-3</v>
      </c>
      <c r="D64" s="3">
        <v>1.0404E-2</v>
      </c>
      <c r="E64" s="3">
        <v>5.8840000000000003E-3</v>
      </c>
    </row>
    <row r="65" spans="1:5" x14ac:dyDescent="0.2">
      <c r="A65" s="1">
        <v>61</v>
      </c>
      <c r="B65" s="3">
        <v>1.9223000000000001E-2</v>
      </c>
      <c r="C65" s="3">
        <v>9.0220000000000005E-3</v>
      </c>
      <c r="D65" s="3">
        <v>1.1504E-2</v>
      </c>
      <c r="E65" s="3">
        <v>6.4489999999999999E-3</v>
      </c>
    </row>
    <row r="66" spans="1:5" x14ac:dyDescent="0.2">
      <c r="A66" s="1">
        <v>62</v>
      </c>
      <c r="B66" s="3">
        <v>2.0955999999999999E-2</v>
      </c>
      <c r="C66" s="3">
        <v>9.8840000000000004E-3</v>
      </c>
      <c r="D66" s="3">
        <v>1.2818E-2</v>
      </c>
      <c r="E66" s="3">
        <v>7.1260000000000004E-3</v>
      </c>
    </row>
    <row r="67" spans="1:5" x14ac:dyDescent="0.2">
      <c r="A67" s="1">
        <v>63</v>
      </c>
      <c r="B67" s="3">
        <v>2.2832999999999999E-2</v>
      </c>
      <c r="C67" s="3">
        <v>1.0839E-2</v>
      </c>
      <c r="D67" s="3">
        <v>1.4429000000000001E-2</v>
      </c>
      <c r="E67" s="3">
        <v>7.9349999999999993E-3</v>
      </c>
    </row>
    <row r="68" spans="1:5" x14ac:dyDescent="0.2">
      <c r="A68" s="1">
        <v>64</v>
      </c>
      <c r="B68" s="3">
        <v>2.4858000000000002E-2</v>
      </c>
      <c r="C68" s="3">
        <v>1.1889E-2</v>
      </c>
      <c r="D68" s="3">
        <v>1.6414999999999999E-2</v>
      </c>
      <c r="E68" s="3">
        <v>8.8979999999999997E-3</v>
      </c>
    </row>
    <row r="69" spans="1:5" x14ac:dyDescent="0.2">
      <c r="A69" s="1">
        <v>65</v>
      </c>
      <c r="B69" s="3">
        <v>2.7073E-2</v>
      </c>
      <c r="C69" s="3">
        <v>1.3054E-2</v>
      </c>
      <c r="D69" s="3">
        <v>1.8832000000000002E-2</v>
      </c>
      <c r="E69" s="3">
        <v>1.0024999999999999E-2</v>
      </c>
    </row>
    <row r="70" spans="1:5" x14ac:dyDescent="0.2">
      <c r="A70" s="1">
        <v>66</v>
      </c>
      <c r="B70" s="3">
        <v>2.9551999999999998E-2</v>
      </c>
      <c r="C70" s="3">
        <v>1.4371E-2</v>
      </c>
      <c r="D70" s="3">
        <v>2.1704000000000001E-2</v>
      </c>
      <c r="E70" s="3">
        <v>1.1323E-2</v>
      </c>
    </row>
    <row r="71" spans="1:5" x14ac:dyDescent="0.2">
      <c r="A71" s="1">
        <v>67</v>
      </c>
      <c r="B71" s="3">
        <v>3.2349999999999997E-2</v>
      </c>
      <c r="C71" s="3">
        <v>1.5873999999999999E-2</v>
      </c>
      <c r="D71" s="3">
        <v>2.5016E-2</v>
      </c>
      <c r="E71" s="3">
        <v>1.2796999999999999E-2</v>
      </c>
    </row>
    <row r="72" spans="1:5" x14ac:dyDescent="0.2">
      <c r="A72" s="1">
        <v>68</v>
      </c>
      <c r="B72" s="3">
        <v>3.5631999999999997E-2</v>
      </c>
      <c r="C72" s="3">
        <v>1.7666999999999999E-2</v>
      </c>
      <c r="D72" s="3">
        <v>2.8738E-2</v>
      </c>
      <c r="E72" s="3">
        <v>1.4460000000000001E-2</v>
      </c>
    </row>
    <row r="73" spans="1:5" x14ac:dyDescent="0.2">
      <c r="A73" s="1">
        <v>69</v>
      </c>
      <c r="B73" s="3">
        <v>3.9224000000000002E-2</v>
      </c>
      <c r="C73" s="3">
        <v>1.9657000000000001E-2</v>
      </c>
      <c r="D73" s="3">
        <v>3.2821999999999997E-2</v>
      </c>
      <c r="E73" s="3">
        <v>1.6331999999999999E-2</v>
      </c>
    </row>
    <row r="74" spans="1:5" x14ac:dyDescent="0.2">
      <c r="A74" s="1">
        <v>70</v>
      </c>
      <c r="B74" s="3">
        <v>4.3126999999999999E-2</v>
      </c>
      <c r="C74" s="3">
        <v>2.1860999999999998E-2</v>
      </c>
      <c r="D74" s="3">
        <v>3.7219000000000002E-2</v>
      </c>
      <c r="E74" s="3">
        <v>1.8440000000000002E-2</v>
      </c>
    </row>
    <row r="75" spans="1:5" x14ac:dyDescent="0.2">
      <c r="A75" s="1">
        <v>71</v>
      </c>
      <c r="B75" s="3">
        <v>4.7399999999999998E-2</v>
      </c>
      <c r="C75" s="3">
        <v>2.4344000000000001E-2</v>
      </c>
      <c r="D75" s="3">
        <v>4.1880000000000001E-2</v>
      </c>
      <c r="E75" s="3">
        <v>2.0813000000000002E-2</v>
      </c>
    </row>
    <row r="76" spans="1:5" x14ac:dyDescent="0.2">
      <c r="A76" s="1">
        <v>72</v>
      </c>
      <c r="B76" s="3">
        <v>5.2109999999999997E-2</v>
      </c>
      <c r="C76" s="3">
        <v>2.7191E-2</v>
      </c>
      <c r="D76" s="3">
        <v>4.6597E-2</v>
      </c>
      <c r="E76" s="3">
        <v>2.3474999999999999E-2</v>
      </c>
    </row>
    <row r="77" spans="1:5" x14ac:dyDescent="0.2">
      <c r="A77" s="1">
        <v>73</v>
      </c>
      <c r="B77" s="3">
        <v>5.7472000000000002E-2</v>
      </c>
      <c r="C77" s="3">
        <v>3.0575999999999999E-2</v>
      </c>
      <c r="D77" s="3">
        <v>5.1180999999999997E-2</v>
      </c>
      <c r="E77" s="3">
        <v>2.7035E-2</v>
      </c>
    </row>
    <row r="78" spans="1:5" x14ac:dyDescent="0.2">
      <c r="A78" s="1">
        <v>74</v>
      </c>
      <c r="B78" s="3">
        <v>6.3439999999999996E-2</v>
      </c>
      <c r="C78" s="3">
        <v>3.4504E-2</v>
      </c>
      <c r="D78" s="3">
        <v>5.611E-2</v>
      </c>
      <c r="E78" s="3">
        <v>3.0412999999999999E-2</v>
      </c>
    </row>
    <row r="79" spans="1:5" x14ac:dyDescent="0.2">
      <c r="A79" s="1">
        <v>75</v>
      </c>
      <c r="B79" s="3">
        <v>7.0039000000000004E-2</v>
      </c>
      <c r="C79" s="3">
        <v>3.9030000000000002E-2</v>
      </c>
      <c r="D79" s="3">
        <v>6.1476999999999997E-2</v>
      </c>
      <c r="E79" s="3">
        <v>3.4286999999999998E-2</v>
      </c>
    </row>
    <row r="80" spans="1:5" x14ac:dyDescent="0.2">
      <c r="A80" s="1">
        <v>76</v>
      </c>
      <c r="B80" s="3">
        <v>7.7247999999999997E-2</v>
      </c>
      <c r="C80" s="3">
        <v>4.4184000000000001E-2</v>
      </c>
      <c r="D80" s="3">
        <v>6.7433000000000007E-2</v>
      </c>
      <c r="E80" s="3">
        <v>3.8748999999999999E-2</v>
      </c>
    </row>
    <row r="81" spans="1:5" x14ac:dyDescent="0.2">
      <c r="A81" s="1">
        <v>77</v>
      </c>
      <c r="B81" s="3">
        <v>8.5072999999999996E-2</v>
      </c>
      <c r="C81" s="3">
        <v>5.0014000000000003E-2</v>
      </c>
      <c r="D81" s="3">
        <v>7.4160000000000004E-2</v>
      </c>
      <c r="E81" s="3">
        <v>4.3936999999999997E-2</v>
      </c>
    </row>
    <row r="82" spans="1:5" x14ac:dyDescent="0.2">
      <c r="A82" s="1">
        <v>78</v>
      </c>
      <c r="B82" s="3">
        <v>9.3534000000000006E-2</v>
      </c>
      <c r="C82" s="3">
        <v>5.6573999999999999E-2</v>
      </c>
      <c r="D82" s="3">
        <v>8.1806000000000004E-2</v>
      </c>
      <c r="E82" s="3">
        <v>4.9993000000000003E-2</v>
      </c>
    </row>
    <row r="83" spans="1:5" x14ac:dyDescent="0.2">
      <c r="A83" s="1">
        <v>79</v>
      </c>
      <c r="B83" s="3">
        <v>0.102662</v>
      </c>
      <c r="C83" s="3">
        <v>6.3921000000000006E-2</v>
      </c>
      <c r="D83" s="3">
        <v>9.0478000000000003E-2</v>
      </c>
      <c r="E83" s="3">
        <v>5.7023999999999998E-2</v>
      </c>
    </row>
    <row r="84" spans="1:5" x14ac:dyDescent="0.2">
      <c r="A84" s="1">
        <v>80</v>
      </c>
      <c r="B84" s="3">
        <v>0.11247699999999999</v>
      </c>
      <c r="C84" s="3">
        <v>7.2100999999999998E-2</v>
      </c>
      <c r="D84" s="3">
        <v>0.100261</v>
      </c>
      <c r="E84" s="3">
        <v>6.5113000000000004E-2</v>
      </c>
    </row>
    <row r="85" spans="1:5" x14ac:dyDescent="0.2">
      <c r="A85" s="1">
        <v>81</v>
      </c>
      <c r="B85" s="3">
        <v>0.12299499999999999</v>
      </c>
      <c r="C85" s="3">
        <v>8.1151000000000001E-2</v>
      </c>
      <c r="D85" s="3">
        <v>0.111193</v>
      </c>
      <c r="E85" s="3">
        <v>7.4288000000000007E-2</v>
      </c>
    </row>
    <row r="86" spans="1:5" x14ac:dyDescent="0.2">
      <c r="A86" s="1">
        <v>82</v>
      </c>
      <c r="B86" s="3">
        <v>0.13423099999999999</v>
      </c>
      <c r="C86" s="3">
        <v>9.1095999999999996E-2</v>
      </c>
      <c r="D86" s="3">
        <v>0.123283</v>
      </c>
      <c r="E86" s="3">
        <v>8.4589999999999999E-2</v>
      </c>
    </row>
    <row r="87" spans="1:5" x14ac:dyDescent="0.2">
      <c r="A87" s="1">
        <v>83</v>
      </c>
      <c r="B87" s="3">
        <v>0.14621200000000001</v>
      </c>
      <c r="C87" s="3">
        <v>0.10197000000000001</v>
      </c>
      <c r="D87" s="3">
        <v>0.13649800000000001</v>
      </c>
      <c r="E87" s="3">
        <v>9.6095E-2</v>
      </c>
    </row>
    <row r="88" spans="1:5" x14ac:dyDescent="0.2">
      <c r="A88" s="1">
        <v>84</v>
      </c>
      <c r="B88" s="3">
        <v>0.15896399999999999</v>
      </c>
      <c r="C88" s="3">
        <v>0.113798</v>
      </c>
      <c r="D88" s="3">
        <v>0.15088699999999999</v>
      </c>
      <c r="E88" s="3">
        <v>0.109028</v>
      </c>
    </row>
    <row r="89" spans="1:5" x14ac:dyDescent="0.2">
      <c r="A89" s="1">
        <v>85</v>
      </c>
      <c r="B89" s="3">
        <v>0.172512</v>
      </c>
      <c r="C89" s="3">
        <v>0.12662799999999999</v>
      </c>
      <c r="D89" s="3">
        <v>0.16650000000000001</v>
      </c>
      <c r="E89" s="3">
        <v>0.123611</v>
      </c>
    </row>
    <row r="90" spans="1:5" x14ac:dyDescent="0.2">
      <c r="A90" s="1">
        <v>86</v>
      </c>
      <c r="B90" s="3">
        <v>0.18689600000000001</v>
      </c>
      <c r="C90" s="3">
        <v>0.14047899999999999</v>
      </c>
      <c r="D90" s="3">
        <v>0.18334400000000001</v>
      </c>
      <c r="E90" s="3">
        <v>0.14002200000000001</v>
      </c>
    </row>
    <row r="91" spans="1:5" x14ac:dyDescent="0.2">
      <c r="A91" s="1">
        <v>87</v>
      </c>
      <c r="B91" s="3">
        <v>0.202185</v>
      </c>
      <c r="C91" s="3">
        <v>0.15537899999999999</v>
      </c>
      <c r="D91" s="3">
        <v>0.201323</v>
      </c>
      <c r="E91" s="3">
        <v>0.15825700000000001</v>
      </c>
    </row>
    <row r="92" spans="1:5" x14ac:dyDescent="0.2">
      <c r="A92" s="1">
        <v>88</v>
      </c>
      <c r="B92" s="3">
        <v>0.218413</v>
      </c>
      <c r="C92" s="3">
        <v>0.17132500000000001</v>
      </c>
      <c r="D92" s="3">
        <v>0.22028400000000001</v>
      </c>
      <c r="E92" s="3">
        <v>0.17818500000000001</v>
      </c>
    </row>
    <row r="93" spans="1:5" x14ac:dyDescent="0.2">
      <c r="A93" s="1">
        <v>89</v>
      </c>
      <c r="B93" s="3">
        <v>0.235597</v>
      </c>
      <c r="C93" s="3">
        <v>0.18831800000000001</v>
      </c>
      <c r="D93" s="3">
        <v>0.24007300000000001</v>
      </c>
      <c r="E93" s="3">
        <v>0.19966900000000001</v>
      </c>
    </row>
    <row r="94" spans="1:5" x14ac:dyDescent="0.2">
      <c r="A94" s="1">
        <v>90</v>
      </c>
      <c r="B94" s="3">
        <v>0.253691</v>
      </c>
      <c r="C94" s="3">
        <v>0.206375</v>
      </c>
      <c r="D94" s="3">
        <v>0.26055600000000001</v>
      </c>
      <c r="E94" s="3">
        <v>0.22250400000000001</v>
      </c>
    </row>
    <row r="95" spans="1:5" x14ac:dyDescent="0.2">
      <c r="A95" s="1">
        <v>91</v>
      </c>
      <c r="B95" s="3">
        <v>0.27289099999999999</v>
      </c>
      <c r="C95" s="3">
        <v>0.22555800000000001</v>
      </c>
      <c r="D95" s="3">
        <v>0.28160200000000002</v>
      </c>
      <c r="E95" s="3">
        <v>0.24645300000000001</v>
      </c>
    </row>
    <row r="96" spans="1:5" x14ac:dyDescent="0.2">
      <c r="A96" s="1">
        <v>92</v>
      </c>
      <c r="B96" s="3">
        <v>0.29314200000000001</v>
      </c>
      <c r="C96" s="3">
        <v>0.245839</v>
      </c>
      <c r="D96" s="3">
        <v>0.30307899999999999</v>
      </c>
      <c r="E96" s="3">
        <v>0.27119500000000002</v>
      </c>
    </row>
    <row r="97" spans="1:5" x14ac:dyDescent="0.2">
      <c r="A97" s="1">
        <v>93</v>
      </c>
      <c r="B97" s="3">
        <v>0.31463799999999997</v>
      </c>
      <c r="C97" s="3">
        <v>0.26727000000000001</v>
      </c>
      <c r="D97" s="3">
        <v>0.32487199999999999</v>
      </c>
      <c r="E97" s="3">
        <v>0.29558400000000001</v>
      </c>
    </row>
    <row r="98" spans="1:5" x14ac:dyDescent="0.2">
      <c r="A98" s="1">
        <v>94</v>
      </c>
      <c r="B98" s="3">
        <v>0.33773900000000001</v>
      </c>
      <c r="C98" s="3">
        <v>0.28998299999999999</v>
      </c>
      <c r="D98" s="3">
        <v>0.346887</v>
      </c>
      <c r="E98" s="3">
        <v>0.31936199999999998</v>
      </c>
    </row>
    <row r="99" spans="1:5" x14ac:dyDescent="0.2">
      <c r="A99" s="1">
        <v>95</v>
      </c>
      <c r="B99" s="3">
        <v>0.36205999999999999</v>
      </c>
      <c r="C99" s="3">
        <v>0.31400699999999998</v>
      </c>
      <c r="D99" s="3">
        <v>0.36905100000000002</v>
      </c>
      <c r="E99" s="3">
        <v>0.343441</v>
      </c>
    </row>
    <row r="100" spans="1:5" x14ac:dyDescent="0.2">
      <c r="A100" s="1">
        <v>96</v>
      </c>
      <c r="B100" s="3">
        <v>0.38873200000000002</v>
      </c>
      <c r="C100" s="3">
        <v>0.340119</v>
      </c>
      <c r="D100" s="3">
        <v>0.39130500000000001</v>
      </c>
      <c r="E100" s="3">
        <v>0.36781799999999998</v>
      </c>
    </row>
    <row r="101" spans="1:5" x14ac:dyDescent="0.2">
      <c r="A101" s="1">
        <v>97</v>
      </c>
      <c r="B101" s="3">
        <v>0.41916599999999998</v>
      </c>
      <c r="C101" s="3">
        <v>0.36738799999999999</v>
      </c>
      <c r="D101" s="3">
        <v>0.41393799999999997</v>
      </c>
      <c r="E101" s="3">
        <v>0.39249299999999998</v>
      </c>
    </row>
    <row r="102" spans="1:5" x14ac:dyDescent="0.2">
      <c r="A102" s="1">
        <v>98</v>
      </c>
      <c r="B102" s="3">
        <v>0.45200800000000002</v>
      </c>
      <c r="C102" s="3">
        <v>0.39702700000000002</v>
      </c>
      <c r="D102" s="3">
        <v>0.43731300000000001</v>
      </c>
      <c r="E102" s="3">
        <v>0.41746</v>
      </c>
    </row>
    <row r="103" spans="1:5" x14ac:dyDescent="0.2">
      <c r="A103" s="1">
        <v>99</v>
      </c>
      <c r="B103" s="3">
        <v>0.4864</v>
      </c>
      <c r="C103" s="3">
        <v>0.42874800000000002</v>
      </c>
      <c r="D103" s="3">
        <v>0.46110099999999998</v>
      </c>
      <c r="E103" s="3">
        <v>0.442716</v>
      </c>
    </row>
    <row r="104" spans="1:5" x14ac:dyDescent="0.2">
      <c r="A104" s="1">
        <v>100</v>
      </c>
      <c r="B104" s="3">
        <v>1</v>
      </c>
      <c r="C104" s="3">
        <v>1</v>
      </c>
      <c r="D104" s="3">
        <v>0.48530400000000001</v>
      </c>
      <c r="E104" s="3">
        <v>0.46825800000000001</v>
      </c>
    </row>
    <row r="105" spans="1:5" x14ac:dyDescent="0.2">
      <c r="A105" s="1">
        <v>101</v>
      </c>
      <c r="B105" s="3">
        <v>1</v>
      </c>
      <c r="C105" s="3">
        <v>1</v>
      </c>
      <c r="D105" s="3">
        <v>0.50992400000000004</v>
      </c>
      <c r="E105" s="3">
        <v>0.49407499999999999</v>
      </c>
    </row>
    <row r="106" spans="1:5" x14ac:dyDescent="0.2">
      <c r="A106" s="1">
        <v>102</v>
      </c>
      <c r="B106" s="3">
        <v>1</v>
      </c>
      <c r="C106" s="3">
        <v>1</v>
      </c>
      <c r="D106" s="3">
        <v>0.53495700000000002</v>
      </c>
      <c r="E106" s="3">
        <v>0.52016399999999996</v>
      </c>
    </row>
    <row r="107" spans="1:5" x14ac:dyDescent="0.2">
      <c r="A107" s="1">
        <v>103</v>
      </c>
      <c r="B107" s="3">
        <v>1</v>
      </c>
      <c r="C107" s="3">
        <v>1</v>
      </c>
      <c r="D107" s="3">
        <v>0.56040699999999999</v>
      </c>
      <c r="E107" s="3">
        <v>0.54651400000000006</v>
      </c>
    </row>
    <row r="108" spans="1:5" x14ac:dyDescent="0.2">
      <c r="A108" s="1">
        <v>104</v>
      </c>
      <c r="B108" s="3">
        <v>1</v>
      </c>
      <c r="C108" s="3">
        <v>1</v>
      </c>
      <c r="D108" s="3">
        <v>0.58626500000000004</v>
      </c>
      <c r="E108" s="3">
        <v>0.57311400000000001</v>
      </c>
    </row>
    <row r="109" spans="1:5" x14ac:dyDescent="0.2">
      <c r="A109" s="1">
        <v>105</v>
      </c>
      <c r="B109" s="3">
        <v>1</v>
      </c>
      <c r="C109" s="3">
        <v>1</v>
      </c>
      <c r="D109" s="3">
        <v>0.61252899999999999</v>
      </c>
      <c r="E109" s="3">
        <v>0.59995299999999996</v>
      </c>
    </row>
    <row r="110" spans="1:5" x14ac:dyDescent="0.2">
      <c r="A110" s="1">
        <v>106</v>
      </c>
      <c r="B110" s="3">
        <v>1</v>
      </c>
      <c r="C110" s="3">
        <v>1</v>
      </c>
      <c r="D110" s="3">
        <v>0.63918799999999998</v>
      </c>
      <c r="E110" s="3">
        <v>0.62701399999999996</v>
      </c>
    </row>
    <row r="111" spans="1:5" x14ac:dyDescent="0.2">
      <c r="A111" s="1">
        <v>107</v>
      </c>
      <c r="B111" s="3">
        <v>1</v>
      </c>
      <c r="C111" s="3">
        <v>1</v>
      </c>
      <c r="D111" s="3">
        <v>0.66623299999999996</v>
      </c>
      <c r="E111" s="3">
        <v>0.65428299999999995</v>
      </c>
    </row>
    <row r="112" spans="1:5" x14ac:dyDescent="0.2">
      <c r="A112" s="1">
        <v>108</v>
      </c>
      <c r="B112" s="3">
        <v>1</v>
      </c>
      <c r="C112" s="3">
        <v>1</v>
      </c>
      <c r="D112" s="3">
        <v>0.69365100000000002</v>
      </c>
      <c r="E112" s="3">
        <v>0.68174100000000004</v>
      </c>
    </row>
    <row r="113" spans="1:5" x14ac:dyDescent="0.2">
      <c r="A113" s="1">
        <v>109</v>
      </c>
      <c r="B113" s="3">
        <v>1</v>
      </c>
      <c r="C113" s="3">
        <v>1</v>
      </c>
      <c r="D113" s="3">
        <v>0.72142499999999998</v>
      </c>
      <c r="E113" s="3">
        <v>0.70936399999999999</v>
      </c>
    </row>
    <row r="114" spans="1:5" x14ac:dyDescent="0.2">
      <c r="A114" s="1">
        <v>110</v>
      </c>
      <c r="B114" s="3">
        <v>1</v>
      </c>
      <c r="C114" s="3">
        <v>1</v>
      </c>
      <c r="D114" s="3">
        <v>0.749533</v>
      </c>
      <c r="E114" s="3">
        <v>0.73712999999999995</v>
      </c>
    </row>
    <row r="115" spans="1:5" x14ac:dyDescent="0.2">
      <c r="A115" s="1">
        <v>111</v>
      </c>
      <c r="B115" s="3">
        <v>1</v>
      </c>
      <c r="C115" s="3">
        <v>1</v>
      </c>
      <c r="D115" s="3">
        <v>0.77795000000000003</v>
      </c>
      <c r="E115" s="3">
        <v>0.765011</v>
      </c>
    </row>
    <row r="116" spans="1:5" x14ac:dyDescent="0.2">
      <c r="A116" s="1">
        <v>112</v>
      </c>
      <c r="B116" s="3">
        <v>1</v>
      </c>
      <c r="C116" s="3">
        <v>1</v>
      </c>
      <c r="D116" s="3">
        <v>0.806647</v>
      </c>
      <c r="E116" s="3">
        <v>0.79297399999999996</v>
      </c>
    </row>
    <row r="117" spans="1:5" x14ac:dyDescent="0.2">
      <c r="A117" s="1">
        <v>113</v>
      </c>
      <c r="B117" s="3">
        <v>1</v>
      </c>
      <c r="C117" s="3">
        <v>1</v>
      </c>
      <c r="D117" s="3">
        <v>0.83558500000000002</v>
      </c>
      <c r="E117" s="3">
        <v>0.82098700000000002</v>
      </c>
    </row>
    <row r="118" spans="1:5" x14ac:dyDescent="0.2">
      <c r="A118" s="1">
        <v>114</v>
      </c>
      <c r="B118" s="3">
        <v>1</v>
      </c>
      <c r="C118" s="3">
        <v>1</v>
      </c>
      <c r="D118" s="3">
        <v>0.86472199999999999</v>
      </c>
      <c r="E118" s="3">
        <v>0.84900900000000001</v>
      </c>
    </row>
    <row r="119" spans="1:5" x14ac:dyDescent="0.2">
      <c r="A119" s="1">
        <v>115</v>
      </c>
      <c r="B119" s="3">
        <v>1</v>
      </c>
      <c r="C119" s="3">
        <v>1</v>
      </c>
      <c r="D119" s="3">
        <v>0.89400800000000002</v>
      </c>
      <c r="E119" s="3">
        <v>0.87699800000000006</v>
      </c>
    </row>
    <row r="120" spans="1:5" x14ac:dyDescent="0.2">
      <c r="A120" s="1">
        <v>116</v>
      </c>
      <c r="B120" s="3">
        <v>1</v>
      </c>
      <c r="C120" s="3">
        <v>1</v>
      </c>
      <c r="D120" s="3">
        <v>0.92338200000000004</v>
      </c>
      <c r="E120" s="3">
        <v>0.90490499999999996</v>
      </c>
    </row>
    <row r="121" spans="1:5" x14ac:dyDescent="0.2">
      <c r="A121" s="1">
        <v>117</v>
      </c>
      <c r="B121" s="3">
        <v>1</v>
      </c>
      <c r="C121" s="3">
        <v>1</v>
      </c>
      <c r="D121" s="3">
        <v>0.95277800000000001</v>
      </c>
      <c r="E121" s="3">
        <v>0.93267500000000003</v>
      </c>
    </row>
    <row r="122" spans="1:5" x14ac:dyDescent="0.2">
      <c r="A122" s="1">
        <v>118</v>
      </c>
      <c r="B122" s="3">
        <v>1</v>
      </c>
      <c r="C122" s="3">
        <v>1</v>
      </c>
      <c r="D122" s="3">
        <v>0.98211300000000001</v>
      </c>
      <c r="E122" s="3">
        <v>0.96024900000000002</v>
      </c>
    </row>
    <row r="123" spans="1:5" x14ac:dyDescent="0.2">
      <c r="A123" s="1">
        <v>119</v>
      </c>
      <c r="B123" s="3">
        <v>1</v>
      </c>
      <c r="C123" s="3">
        <v>1</v>
      </c>
      <c r="D123" s="3">
        <v>1</v>
      </c>
      <c r="E123" s="3">
        <v>0.987564</v>
      </c>
    </row>
    <row r="124" spans="1:5" x14ac:dyDescent="0.2">
      <c r="A124" s="1">
        <v>120</v>
      </c>
      <c r="B124" s="3">
        <v>1</v>
      </c>
      <c r="C124" s="3">
        <v>1</v>
      </c>
      <c r="D124" s="3">
        <v>1</v>
      </c>
      <c r="E124" s="3">
        <v>1</v>
      </c>
    </row>
    <row r="125" spans="1:5" x14ac:dyDescent="0.2">
      <c r="A125" s="1">
        <v>121</v>
      </c>
      <c r="B125" s="3">
        <v>1</v>
      </c>
      <c r="C125" s="3">
        <v>1</v>
      </c>
      <c r="D125" s="3">
        <v>1</v>
      </c>
      <c r="E125" s="3">
        <v>1</v>
      </c>
    </row>
    <row r="126" spans="1:5" x14ac:dyDescent="0.2">
      <c r="A126" s="1">
        <v>122</v>
      </c>
      <c r="B126" s="3">
        <v>1</v>
      </c>
      <c r="C126" s="3">
        <v>1</v>
      </c>
      <c r="D126" s="3">
        <v>1</v>
      </c>
      <c r="E126" s="3">
        <v>1</v>
      </c>
    </row>
    <row r="127" spans="1:5" x14ac:dyDescent="0.2">
      <c r="A127" s="1">
        <v>123</v>
      </c>
      <c r="B127" s="3">
        <v>1</v>
      </c>
      <c r="C127" s="3">
        <v>1</v>
      </c>
      <c r="D127" s="3">
        <v>1</v>
      </c>
      <c r="E127" s="3">
        <v>1</v>
      </c>
    </row>
  </sheetData>
  <pageMargins left="0.78740157499999996" right="0.78740157499999996" top="0.984251969" bottom="0.984251969" header="0.4921259845" footer="0.4921259845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24</vt:i4>
      </vt:variant>
    </vt:vector>
  </HeadingPairs>
  <TitlesOfParts>
    <vt:vector size="26" baseType="lpstr">
      <vt:lpstr>Calculation</vt:lpstr>
      <vt:lpstr>MortalityTables</vt:lpstr>
      <vt:lpstr>alpha</vt:lpstr>
      <vt:lpstr>beta1</vt:lpstr>
      <vt:lpstr>gamma1</vt:lpstr>
      <vt:lpstr>gamma2</vt:lpstr>
      <vt:lpstr>gamma3</vt:lpstr>
      <vt:lpstr>GrossAnnualPrem</vt:lpstr>
      <vt:lpstr>GrossModalPrem</vt:lpstr>
      <vt:lpstr>InterestRate</vt:lpstr>
      <vt:lpstr>k</vt:lpstr>
      <vt:lpstr>m_Tables</vt:lpstr>
      <vt:lpstr>MinAgeFlex</vt:lpstr>
      <vt:lpstr>MinTermFlex</vt:lpstr>
      <vt:lpstr>ModalSurcharge</vt:lpstr>
      <vt:lpstr>MortalityTable</vt:lpstr>
      <vt:lpstr>n</vt:lpstr>
      <vt:lpstr>NormGrossAnnualPrem</vt:lpstr>
      <vt:lpstr>P_xt</vt:lpstr>
      <vt:lpstr>PayFreq</vt:lpstr>
      <vt:lpstr>Sex</vt:lpstr>
      <vt:lpstr>SumInsured</vt:lpstr>
      <vt:lpstr>t</vt:lpstr>
      <vt:lpstr>v_Age</vt:lpstr>
      <vt:lpstr>v_Tables</vt:lpstr>
      <vt:lpstr>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Arno Rasch</cp:lastModifiedBy>
  <cp:lastPrinted>2026-01-09T18:52:09Z</cp:lastPrinted>
  <dcterms:created xsi:type="dcterms:W3CDTF">1996-10-17T05:27:31Z</dcterms:created>
  <dcterms:modified xsi:type="dcterms:W3CDTF">2026-01-22T14:35:27Z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0x0101009670652FF643BB4087D0D4458642B0D2</vt:lpwstr>
  </property>
</Properties>
</file>